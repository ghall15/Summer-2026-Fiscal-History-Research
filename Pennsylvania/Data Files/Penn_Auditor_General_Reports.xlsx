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ll\Documents\Fiscal_History\State Debts\Pennsylvania\"/>
    </mc:Choice>
  </mc:AlternateContent>
  <xr:revisionPtr revIDLastSave="0" documentId="13_ncr:1_{FC07C3AA-8851-43D8-A660-C0C52B588CB2}" xr6:coauthVersionLast="36" xr6:coauthVersionMax="36" xr10:uidLastSave="{00000000-0000-0000-0000-000000000000}"/>
  <bookViews>
    <workbookView xWindow="0" yWindow="0" windowWidth="20940" windowHeight="5180" xr2:uid="{96951DEA-E22A-4D3E-AF80-FC7B78B7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18" i="1" l="1"/>
  <c r="CF17" i="1"/>
  <c r="CF14" i="1"/>
  <c r="CF11" i="1"/>
  <c r="CE15" i="1" l="1"/>
  <c r="CF15" i="1" s="1"/>
  <c r="CG20" i="1" l="1"/>
  <c r="CF44" i="1"/>
  <c r="CG44" i="1" s="1"/>
  <c r="CF43" i="1"/>
  <c r="CF42" i="1"/>
  <c r="CF41" i="1"/>
  <c r="CF40" i="1"/>
  <c r="CF39" i="1"/>
  <c r="CG39" i="1" s="1"/>
  <c r="CF38" i="1"/>
  <c r="CG38" i="1" s="1"/>
  <c r="CF37" i="1"/>
  <c r="CF36" i="1"/>
  <c r="CF35" i="1"/>
  <c r="CF29" i="1"/>
  <c r="CF28" i="1"/>
  <c r="CF27" i="1"/>
  <c r="CG27" i="1" s="1"/>
  <c r="CF26" i="1"/>
  <c r="CG26" i="1" s="1"/>
  <c r="CF25" i="1"/>
  <c r="CF23" i="1"/>
  <c r="CF22" i="1"/>
  <c r="CF21" i="1"/>
  <c r="CG21" i="1" s="1"/>
  <c r="CF20" i="1"/>
  <c r="CF19" i="1"/>
  <c r="CF10" i="1"/>
  <c r="CF9" i="1"/>
  <c r="CF8" i="1"/>
  <c r="CF7" i="1"/>
  <c r="CF6" i="1"/>
  <c r="CG6" i="1" s="1"/>
  <c r="CF5" i="1"/>
  <c r="CG5" i="1" s="1"/>
  <c r="CF4" i="1"/>
  <c r="CG4" i="1" s="1"/>
  <c r="EO40" i="1"/>
  <c r="EO39" i="1"/>
  <c r="EO36" i="1"/>
  <c r="EO29" i="1"/>
  <c r="EO25" i="1"/>
  <c r="EO21" i="1"/>
  <c r="EO18" i="1"/>
  <c r="EO17" i="1"/>
  <c r="EO16" i="1"/>
  <c r="EO15" i="1"/>
  <c r="EO14" i="1"/>
  <c r="EO13" i="1"/>
  <c r="EO12" i="1"/>
  <c r="EO10" i="1"/>
  <c r="EO9" i="1"/>
  <c r="EO8" i="1"/>
  <c r="EO7" i="1"/>
  <c r="EO6" i="1"/>
  <c r="EO4" i="1"/>
  <c r="EO11" i="1"/>
  <c r="CH20" i="1"/>
  <c r="CM20" i="1" s="1"/>
  <c r="CH19" i="1"/>
  <c r="CL19" i="1" s="1"/>
  <c r="CM28" i="1"/>
  <c r="CM27" i="1"/>
  <c r="CM26" i="1"/>
  <c r="CM25" i="1"/>
  <c r="CM24" i="1"/>
  <c r="CM23" i="1"/>
  <c r="CM22" i="1"/>
  <c r="CM21" i="1"/>
  <c r="CM18" i="1"/>
  <c r="CM17" i="1"/>
  <c r="CM16" i="1"/>
  <c r="CM15" i="1"/>
  <c r="CM14" i="1"/>
  <c r="CM13" i="1"/>
  <c r="CM12" i="1"/>
  <c r="CM11" i="1"/>
  <c r="CG18" i="1"/>
  <c r="CG17" i="1"/>
  <c r="CG15" i="1"/>
  <c r="CG14" i="1"/>
  <c r="CG11" i="1"/>
  <c r="CE16" i="1"/>
  <c r="CF16" i="1" s="1"/>
  <c r="CG16" i="1" s="1"/>
  <c r="CE13" i="1"/>
  <c r="CF13" i="1" s="1"/>
  <c r="CE12" i="1"/>
  <c r="CF12" i="1" s="1"/>
  <c r="CG12" i="1" l="1"/>
  <c r="CG13" i="1"/>
  <c r="CG8" i="1"/>
  <c r="EY8" i="1"/>
  <c r="EV8" i="1"/>
  <c r="EX8" i="1"/>
  <c r="EW8" i="1"/>
  <c r="EZ8" i="1"/>
  <c r="CG29" i="1"/>
  <c r="EZ29" i="1" s="1"/>
  <c r="EW29" i="1"/>
  <c r="EX29" i="1"/>
  <c r="EV29" i="1"/>
  <c r="CG36" i="1"/>
  <c r="EY36" i="1"/>
  <c r="EZ36" i="1"/>
  <c r="EX36" i="1"/>
  <c r="EW36" i="1"/>
  <c r="EV36" i="1"/>
  <c r="CG28" i="1"/>
  <c r="CG35" i="1"/>
  <c r="CG19" i="1"/>
  <c r="CG37" i="1"/>
  <c r="CG9" i="1"/>
  <c r="EZ9" i="1" s="1"/>
  <c r="EW9" i="1"/>
  <c r="EZ21" i="1"/>
  <c r="EY21" i="1"/>
  <c r="EX21" i="1"/>
  <c r="EW21" i="1"/>
  <c r="EV21" i="1"/>
  <c r="EZ39" i="1"/>
  <c r="EY39" i="1"/>
  <c r="EX39" i="1"/>
  <c r="EV39" i="1"/>
  <c r="EW39" i="1"/>
  <c r="CG22" i="1"/>
  <c r="CG40" i="1"/>
  <c r="EX40" i="1" s="1"/>
  <c r="FF40" i="1" s="1"/>
  <c r="EV40" i="1"/>
  <c r="EZ40" i="1"/>
  <c r="EW40" i="1"/>
  <c r="EY40" i="1"/>
  <c r="CG23" i="1"/>
  <c r="CG41" i="1"/>
  <c r="EW7" i="1"/>
  <c r="EW4" i="1"/>
  <c r="EV4" i="1"/>
  <c r="EX4" i="1"/>
  <c r="EZ4" i="1"/>
  <c r="EY4" i="1"/>
  <c r="CG25" i="1"/>
  <c r="EW25" i="1" s="1"/>
  <c r="CG42" i="1"/>
  <c r="CG43" i="1"/>
  <c r="CG7" i="1"/>
  <c r="EZ7" i="1" s="1"/>
  <c r="EY6" i="1"/>
  <c r="EW6" i="1"/>
  <c r="EV6" i="1"/>
  <c r="EX6" i="1"/>
  <c r="EZ6" i="1"/>
  <c r="CG10" i="1"/>
  <c r="EY10" i="1" s="1"/>
  <c r="EY12" i="1"/>
  <c r="EX12" i="1"/>
  <c r="EW12" i="1"/>
  <c r="EV12" i="1"/>
  <c r="EZ12" i="1"/>
  <c r="EW14" i="1"/>
  <c r="EZ14" i="1"/>
  <c r="EY14" i="1"/>
  <c r="EX14" i="1"/>
  <c r="EV14" i="1"/>
  <c r="EZ17" i="1"/>
  <c r="EX17" i="1"/>
  <c r="EW17" i="1"/>
  <c r="EY17" i="1"/>
  <c r="EV17" i="1"/>
  <c r="EW13" i="1"/>
  <c r="EV13" i="1"/>
  <c r="EX13" i="1"/>
  <c r="EZ13" i="1"/>
  <c r="EY13" i="1"/>
  <c r="EY15" i="1"/>
  <c r="EX15" i="1"/>
  <c r="EZ15" i="1"/>
  <c r="EW15" i="1"/>
  <c r="EV15" i="1"/>
  <c r="EV16" i="1"/>
  <c r="EY16" i="1"/>
  <c r="EZ16" i="1"/>
  <c r="EX16" i="1"/>
  <c r="EW16" i="1"/>
  <c r="EV18" i="1"/>
  <c r="EW18" i="1"/>
  <c r="EZ18" i="1"/>
  <c r="EY18" i="1"/>
  <c r="EX18" i="1"/>
  <c r="EX11" i="1"/>
  <c r="EV11" i="1"/>
  <c r="EW11" i="1"/>
  <c r="EZ11" i="1"/>
  <c r="EY11" i="1"/>
  <c r="AZ12" i="1"/>
  <c r="CW19" i="1"/>
  <c r="EO19" i="1" s="1"/>
  <c r="CO20" i="1"/>
  <c r="EW20" i="1" s="1"/>
  <c r="AZ20" i="1"/>
  <c r="BN20" i="1"/>
  <c r="CY5" i="1"/>
  <c r="CW5" i="1"/>
  <c r="EO5" i="1" s="1"/>
  <c r="BI5" i="1"/>
  <c r="BL5" i="1"/>
  <c r="DX24" i="1"/>
  <c r="CC24" i="1"/>
  <c r="CW24" i="1"/>
  <c r="AA24" i="1"/>
  <c r="EY25" i="1" l="1"/>
  <c r="EX7" i="1"/>
  <c r="EY19" i="1"/>
  <c r="FF17" i="1"/>
  <c r="EZ20" i="1"/>
  <c r="EX25" i="1"/>
  <c r="EY7" i="1"/>
  <c r="EX20" i="1"/>
  <c r="EZ25" i="1"/>
  <c r="FF25" i="1" s="1"/>
  <c r="EV25" i="1"/>
  <c r="FF36" i="1"/>
  <c r="EZ10" i="1"/>
  <c r="FF21" i="1"/>
  <c r="EV9" i="1"/>
  <c r="EX19" i="1"/>
  <c r="FF29" i="1"/>
  <c r="EV5" i="1"/>
  <c r="EW5" i="1"/>
  <c r="EV7" i="1"/>
  <c r="EV19" i="1"/>
  <c r="EX5" i="1"/>
  <c r="FF5" i="1" s="1"/>
  <c r="EZ5" i="1"/>
  <c r="EY20" i="1"/>
  <c r="EY5" i="1"/>
  <c r="EV20" i="1"/>
  <c r="FF39" i="1"/>
  <c r="EV10" i="1"/>
  <c r="FF8" i="1"/>
  <c r="EX9" i="1"/>
  <c r="EZ19" i="1"/>
  <c r="EW10" i="1"/>
  <c r="FF4" i="1"/>
  <c r="EY9" i="1"/>
  <c r="EW19" i="1"/>
  <c r="EX10" i="1"/>
  <c r="FF6" i="1"/>
  <c r="FF18" i="1"/>
  <c r="FF16" i="1"/>
  <c r="FF15" i="1"/>
  <c r="FF14" i="1"/>
  <c r="FF13" i="1"/>
  <c r="FF12" i="1"/>
  <c r="FF11" i="1"/>
  <c r="EO20" i="1"/>
  <c r="CF24" i="1"/>
  <c r="CG24" i="1" s="1"/>
  <c r="EO24" i="1"/>
  <c r="BN24" i="1"/>
  <c r="FF7" i="1" l="1"/>
  <c r="FF10" i="1"/>
  <c r="FF20" i="1"/>
  <c r="EV24" i="1"/>
  <c r="EX24" i="1"/>
  <c r="FF9" i="1"/>
  <c r="EY24" i="1"/>
  <c r="FF19" i="1"/>
  <c r="EW24" i="1"/>
  <c r="EZ2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4" i="1"/>
  <c r="BY22" i="1"/>
  <c r="BY20" i="1"/>
  <c r="BY19" i="1"/>
  <c r="BY18" i="1"/>
  <c r="BY17" i="1"/>
  <c r="BY15" i="1"/>
  <c r="BY14" i="1"/>
  <c r="BY13" i="1"/>
  <c r="BY12" i="1"/>
  <c r="BY11" i="1"/>
  <c r="BY9" i="1"/>
  <c r="BY8" i="1"/>
  <c r="BY7" i="1"/>
  <c r="BY6" i="1"/>
  <c r="BY5" i="1"/>
  <c r="BY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4" i="1"/>
  <c r="BW22" i="1"/>
  <c r="BW20" i="1"/>
  <c r="BW19" i="1"/>
  <c r="BW18" i="1"/>
  <c r="BW17" i="1"/>
  <c r="BW15" i="1"/>
  <c r="BW14" i="1"/>
  <c r="BW13" i="1"/>
  <c r="BW12" i="1"/>
  <c r="BW11" i="1"/>
  <c r="BW9" i="1"/>
  <c r="BW8" i="1"/>
  <c r="BW7" i="1"/>
  <c r="BW6" i="1"/>
  <c r="BW5" i="1"/>
  <c r="BW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4" i="1"/>
  <c r="BX22" i="1"/>
  <c r="BX20" i="1"/>
  <c r="BX19" i="1"/>
  <c r="BX18" i="1"/>
  <c r="BX17" i="1"/>
  <c r="BX15" i="1"/>
  <c r="BX14" i="1"/>
  <c r="BX13" i="1"/>
  <c r="BX12" i="1"/>
  <c r="BX11" i="1"/>
  <c r="BX9" i="1"/>
  <c r="BX8" i="1"/>
  <c r="BX7" i="1"/>
  <c r="BX6" i="1"/>
  <c r="BX5" i="1"/>
  <c r="BX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4" i="1"/>
  <c r="BV22" i="1"/>
  <c r="BV20" i="1"/>
  <c r="BV19" i="1"/>
  <c r="BV18" i="1"/>
  <c r="BV17" i="1"/>
  <c r="BV15" i="1"/>
  <c r="BV14" i="1"/>
  <c r="BV13" i="1"/>
  <c r="BV12" i="1"/>
  <c r="BV11" i="1"/>
  <c r="BV9" i="1"/>
  <c r="BV8" i="1"/>
  <c r="BV7" i="1"/>
  <c r="BV6" i="1"/>
  <c r="BV5" i="1"/>
  <c r="BT43" i="1"/>
  <c r="BT42" i="1"/>
  <c r="BT41" i="1"/>
  <c r="BT40" i="1"/>
  <c r="BT39" i="1"/>
  <c r="FE39" i="1" s="1"/>
  <c r="BT38" i="1"/>
  <c r="BT37" i="1"/>
  <c r="BT36" i="1"/>
  <c r="BT35" i="1"/>
  <c r="BT34" i="1"/>
  <c r="BT33" i="1"/>
  <c r="BT32" i="1"/>
  <c r="BT31" i="1"/>
  <c r="BT30" i="1"/>
  <c r="BT29" i="1"/>
  <c r="BT28" i="1"/>
  <c r="BT24" i="1"/>
  <c r="FE24" i="1" s="1"/>
  <c r="BT22" i="1"/>
  <c r="FE22" i="1" s="1"/>
  <c r="BT20" i="1"/>
  <c r="BT19" i="1"/>
  <c r="BT18" i="1"/>
  <c r="BT17" i="1"/>
  <c r="BT15" i="1"/>
  <c r="BT14" i="1"/>
  <c r="BT13" i="1"/>
  <c r="BT12" i="1"/>
  <c r="BT11" i="1"/>
  <c r="BT9" i="1"/>
  <c r="BT8" i="1"/>
  <c r="FE8" i="1" s="1"/>
  <c r="BT7" i="1"/>
  <c r="FE7" i="1" s="1"/>
  <c r="BT6" i="1"/>
  <c r="BT5" i="1"/>
  <c r="BT4" i="1"/>
  <c r="BV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4" i="1"/>
  <c r="BU22" i="1"/>
  <c r="BU20" i="1"/>
  <c r="BU19" i="1"/>
  <c r="BU18" i="1"/>
  <c r="BU17" i="1"/>
  <c r="BU15" i="1"/>
  <c r="BU14" i="1"/>
  <c r="BU13" i="1"/>
  <c r="BU12" i="1"/>
  <c r="BU11" i="1"/>
  <c r="BU9" i="1"/>
  <c r="BU8" i="1"/>
  <c r="BU7" i="1"/>
  <c r="BU6" i="1"/>
  <c r="BU5" i="1"/>
  <c r="BU4" i="1"/>
  <c r="FE18" i="1" l="1"/>
  <c r="FE35" i="1"/>
  <c r="FE38" i="1"/>
  <c r="FE11" i="1"/>
  <c r="FE29" i="1"/>
  <c r="FE41" i="1"/>
  <c r="FE9" i="1"/>
  <c r="FE28" i="1"/>
  <c r="FE40" i="1"/>
  <c r="FE13" i="1"/>
  <c r="FE31" i="1"/>
  <c r="FE43" i="1"/>
  <c r="FE30" i="1"/>
  <c r="FE14" i="1"/>
  <c r="FE32" i="1"/>
  <c r="FE42" i="1"/>
  <c r="FE15" i="1"/>
  <c r="FE33" i="1"/>
  <c r="FE17" i="1"/>
  <c r="FE34" i="1"/>
  <c r="FE12" i="1"/>
  <c r="FE5" i="1"/>
  <c r="FE19" i="1"/>
  <c r="FE36" i="1"/>
  <c r="FF24" i="1"/>
  <c r="FE4" i="1"/>
  <c r="FE6" i="1"/>
  <c r="FE20" i="1"/>
  <c r="FE37" i="1"/>
  <c r="BZ9" i="1"/>
  <c r="BZ28" i="1"/>
  <c r="BZ40" i="1"/>
  <c r="BZ4" i="1"/>
  <c r="BZ19" i="1"/>
  <c r="BZ13" i="1"/>
  <c r="BZ31" i="1"/>
  <c r="BZ43" i="1"/>
  <c r="BZ32" i="1"/>
  <c r="BZ33" i="1"/>
  <c r="BZ15" i="1"/>
  <c r="BZ17" i="1"/>
  <c r="BZ34" i="1"/>
  <c r="BZ35" i="1"/>
  <c r="BZ18" i="1"/>
  <c r="BZ36" i="1"/>
  <c r="BZ14" i="1"/>
  <c r="BZ37" i="1"/>
  <c r="BZ38" i="1"/>
  <c r="BZ7" i="1"/>
  <c r="BZ8" i="1"/>
  <c r="BZ39" i="1"/>
  <c r="BZ29" i="1"/>
  <c r="BZ11" i="1"/>
  <c r="BZ41" i="1"/>
  <c r="BZ30" i="1"/>
  <c r="BZ42" i="1"/>
  <c r="BZ12" i="1"/>
  <c r="BZ22" i="1"/>
  <c r="BZ20" i="1"/>
  <c r="BZ5" i="1"/>
  <c r="BZ6" i="1"/>
  <c r="BZ24" i="1"/>
  <c r="CW44" i="1"/>
  <c r="EN44" i="1"/>
  <c r="EI44" i="1"/>
  <c r="BL44" i="1"/>
  <c r="BC44" i="1"/>
  <c r="EX44" i="1" l="1"/>
  <c r="EZ44" i="1"/>
  <c r="EY44" i="1"/>
  <c r="EV44" i="1"/>
  <c r="EW44" i="1"/>
  <c r="EO44" i="1"/>
  <c r="BX44" i="1"/>
  <c r="BY44" i="1"/>
  <c r="BV44" i="1"/>
  <c r="BW44" i="1"/>
  <c r="BT44" i="1"/>
  <c r="BU44" i="1"/>
  <c r="FE44" i="1" l="1"/>
  <c r="FG44" i="1" s="1"/>
  <c r="FF44" i="1"/>
  <c r="FB44" i="1"/>
  <c r="BZ44" i="1"/>
  <c r="FH44" i="1" l="1"/>
  <c r="L25" i="1" l="1"/>
  <c r="F25" i="1"/>
  <c r="BY25" i="1" l="1"/>
  <c r="BU25" i="1"/>
  <c r="BV25" i="1"/>
  <c r="BW25" i="1"/>
  <c r="BT25" i="1"/>
  <c r="BX25" i="1"/>
  <c r="CO22" i="1"/>
  <c r="EZ22" i="1" l="1"/>
  <c r="EX22" i="1"/>
  <c r="EW22" i="1"/>
  <c r="EY22" i="1"/>
  <c r="EV22" i="1"/>
  <c r="FE25" i="1"/>
  <c r="EO22" i="1"/>
  <c r="BZ25" i="1"/>
  <c r="FB40" i="1"/>
  <c r="FB39" i="1"/>
  <c r="FB36" i="1"/>
  <c r="FB29" i="1"/>
  <c r="FB25" i="1"/>
  <c r="FB24" i="1"/>
  <c r="FB21" i="1"/>
  <c r="FB20" i="1"/>
  <c r="FB19" i="1"/>
  <c r="FB18" i="1"/>
  <c r="FB17" i="1"/>
  <c r="FB16" i="1"/>
  <c r="FB15" i="1"/>
  <c r="FB14" i="1"/>
  <c r="FB13" i="1"/>
  <c r="FB12" i="1"/>
  <c r="FB11" i="1"/>
  <c r="FB10" i="1"/>
  <c r="FB9" i="1"/>
  <c r="FB8" i="1"/>
  <c r="FB7" i="1"/>
  <c r="FB6" i="1"/>
  <c r="FB5" i="1"/>
  <c r="FB4" i="1"/>
  <c r="FB22" i="1" l="1"/>
  <c r="FF22" i="1"/>
  <c r="FC11" i="1"/>
  <c r="FC10" i="1"/>
  <c r="FC19" i="1"/>
  <c r="FC29" i="1"/>
  <c r="FC7" i="1"/>
  <c r="FH14" i="1"/>
  <c r="FC39" i="1"/>
  <c r="FC5" i="1"/>
  <c r="FC17" i="1"/>
  <c r="FC40" i="1"/>
  <c r="FC18" i="1"/>
  <c r="FH36" i="1"/>
  <c r="FC15" i="1"/>
  <c r="FC9" i="1"/>
  <c r="FC21" i="1"/>
  <c r="FC6" i="1"/>
  <c r="FC14" i="1"/>
  <c r="EQ44" i="1"/>
  <c r="FC44" i="1"/>
  <c r="FC22" i="1"/>
  <c r="FC13" i="1"/>
  <c r="FC16" i="1"/>
  <c r="FC4" i="1"/>
  <c r="FC25" i="1"/>
  <c r="FC36" i="1"/>
  <c r="FC12" i="1"/>
  <c r="FC8" i="1"/>
  <c r="FC20" i="1"/>
  <c r="FC24" i="1"/>
  <c r="FG11" i="1" l="1"/>
  <c r="FG8" i="1"/>
  <c r="FH40" i="1"/>
  <c r="FG12" i="1"/>
  <c r="FH19" i="1"/>
  <c r="FH5" i="1"/>
  <c r="FG19" i="1"/>
  <c r="FH12" i="1"/>
  <c r="FH7" i="1"/>
  <c r="FH9" i="1"/>
  <c r="FH17" i="1"/>
  <c r="FG9" i="1"/>
  <c r="FG36" i="1"/>
  <c r="FH15" i="1"/>
  <c r="FG20" i="1"/>
  <c r="FH24" i="1"/>
  <c r="FG29" i="1"/>
  <c r="FG17" i="1"/>
  <c r="FG18" i="1"/>
  <c r="FH4" i="1"/>
  <c r="FH39" i="1"/>
  <c r="FG40" i="1"/>
  <c r="FG15" i="1"/>
  <c r="FG22" i="1"/>
  <c r="FG13" i="1"/>
  <c r="FH18" i="1"/>
  <c r="FG4" i="1"/>
  <c r="FH20" i="1"/>
  <c r="FH29" i="1"/>
  <c r="FG24" i="1"/>
  <c r="FG7" i="1"/>
  <c r="FH22" i="1"/>
  <c r="FH13" i="1"/>
  <c r="FG6" i="1"/>
  <c r="FG14" i="1"/>
  <c r="FG39" i="1"/>
  <c r="FG25" i="1"/>
  <c r="FH11" i="1"/>
  <c r="FH8" i="1"/>
  <c r="FG5" i="1"/>
  <c r="FH6" i="1"/>
  <c r="FH25" i="1"/>
  <c r="DX26" i="1"/>
  <c r="F21" i="1"/>
  <c r="Z16" i="1"/>
  <c r="BL26" i="1"/>
  <c r="F26" i="1"/>
  <c r="Z10" i="1"/>
  <c r="EN38" i="1"/>
  <c r="EI38" i="1"/>
  <c r="CO23" i="1"/>
  <c r="AA23" i="1"/>
  <c r="F23" i="1"/>
  <c r="EN37" i="1"/>
  <c r="EI32" i="1"/>
  <c r="ER34" i="1"/>
  <c r="EN34" i="1"/>
  <c r="EN33" i="1"/>
  <c r="CC34" i="1"/>
  <c r="CC33" i="1"/>
  <c r="CC32" i="1"/>
  <c r="CC31" i="1"/>
  <c r="CC30" i="1"/>
  <c r="EI35" i="1"/>
  <c r="EO26" i="1" l="1"/>
  <c r="EZ26" i="1"/>
  <c r="EY26" i="1"/>
  <c r="EX26" i="1"/>
  <c r="EW26" i="1"/>
  <c r="EV26" i="1"/>
  <c r="EO37" i="1"/>
  <c r="EY37" i="1"/>
  <c r="EX37" i="1"/>
  <c r="EW37" i="1"/>
  <c r="EV37" i="1"/>
  <c r="FB37" i="1" s="1"/>
  <c r="EZ37" i="1"/>
  <c r="EO38" i="1"/>
  <c r="EZ38" i="1"/>
  <c r="EY38" i="1"/>
  <c r="EX38" i="1"/>
  <c r="EW38" i="1"/>
  <c r="EV38" i="1"/>
  <c r="EW23" i="1"/>
  <c r="EZ23" i="1"/>
  <c r="EY23" i="1"/>
  <c r="EV23" i="1"/>
  <c r="EX23" i="1"/>
  <c r="EO33" i="1"/>
  <c r="CF33" i="1"/>
  <c r="EO34" i="1"/>
  <c r="CF34" i="1"/>
  <c r="EO30" i="1"/>
  <c r="CF30" i="1"/>
  <c r="EO23" i="1"/>
  <c r="CF31" i="1"/>
  <c r="EO31" i="1"/>
  <c r="CF32" i="1"/>
  <c r="EO32" i="1"/>
  <c r="BY23" i="1"/>
  <c r="BU23" i="1"/>
  <c r="BV23" i="1"/>
  <c r="BW23" i="1"/>
  <c r="BT23" i="1"/>
  <c r="BX23" i="1"/>
  <c r="BV26" i="1"/>
  <c r="BT26" i="1"/>
  <c r="BW26" i="1"/>
  <c r="BX26" i="1"/>
  <c r="BU26" i="1"/>
  <c r="BY26" i="1"/>
  <c r="BX10" i="1"/>
  <c r="BY10" i="1"/>
  <c r="BU10" i="1"/>
  <c r="BV10" i="1"/>
  <c r="BW10" i="1"/>
  <c r="BT10" i="1"/>
  <c r="BW16" i="1"/>
  <c r="BT16" i="1"/>
  <c r="BX16" i="1"/>
  <c r="BY16" i="1"/>
  <c r="BU16" i="1"/>
  <c r="BV16" i="1"/>
  <c r="BU21" i="1"/>
  <c r="BX21" i="1"/>
  <c r="BY21" i="1"/>
  <c r="BV21" i="1"/>
  <c r="BW21" i="1"/>
  <c r="BT21" i="1"/>
  <c r="FB38" i="1"/>
  <c r="EN35" i="1"/>
  <c r="EO35" i="1" s="1"/>
  <c r="EI42" i="1"/>
  <c r="CO42" i="1"/>
  <c r="CW42" i="1"/>
  <c r="EI41" i="1"/>
  <c r="CW41" i="1"/>
  <c r="EY35" i="1" l="1"/>
  <c r="FB26" i="1"/>
  <c r="CG34" i="1"/>
  <c r="EZ34" i="1" s="1"/>
  <c r="EZ35" i="1"/>
  <c r="EV35" i="1"/>
  <c r="EX42" i="1"/>
  <c r="EW42" i="1"/>
  <c r="EV42" i="1"/>
  <c r="EZ42" i="1"/>
  <c r="EY42" i="1"/>
  <c r="CG33" i="1"/>
  <c r="EX33" i="1" s="1"/>
  <c r="FF23" i="1"/>
  <c r="FF38" i="1"/>
  <c r="FF37" i="1"/>
  <c r="EZ33" i="1"/>
  <c r="EZ41" i="1"/>
  <c r="EY41" i="1"/>
  <c r="EX41" i="1"/>
  <c r="EW41" i="1"/>
  <c r="EV41" i="1"/>
  <c r="FB41" i="1" s="1"/>
  <c r="EV34" i="1"/>
  <c r="FE16" i="1"/>
  <c r="FE26" i="1"/>
  <c r="FB23" i="1"/>
  <c r="FC23" i="1" s="1"/>
  <c r="EW34" i="1"/>
  <c r="EX32" i="1"/>
  <c r="EX34" i="1"/>
  <c r="FE21" i="1"/>
  <c r="FE10" i="1"/>
  <c r="FH10" i="1" s="1"/>
  <c r="EW35" i="1"/>
  <c r="FF26" i="1"/>
  <c r="EY34" i="1"/>
  <c r="FE23" i="1"/>
  <c r="FH23" i="1" s="1"/>
  <c r="CG30" i="1"/>
  <c r="EW30" i="1" s="1"/>
  <c r="EX35" i="1"/>
  <c r="EO41" i="1"/>
  <c r="EO42" i="1"/>
  <c r="CG32" i="1"/>
  <c r="EW32" i="1" s="1"/>
  <c r="CG31" i="1"/>
  <c r="EY31" i="1" s="1"/>
  <c r="FG16" i="1"/>
  <c r="FG21" i="1"/>
  <c r="BZ16" i="1"/>
  <c r="BZ26" i="1"/>
  <c r="BZ21" i="1"/>
  <c r="BZ10" i="1"/>
  <c r="BZ23" i="1"/>
  <c r="FC38" i="1"/>
  <c r="FC37" i="1"/>
  <c r="FC26" i="1"/>
  <c r="EI43" i="1"/>
  <c r="CW43" i="1"/>
  <c r="FF41" i="1" l="1"/>
  <c r="FB35" i="1"/>
  <c r="FG26" i="1"/>
  <c r="FB34" i="1"/>
  <c r="FC34" i="1" s="1"/>
  <c r="FF35" i="1"/>
  <c r="EW33" i="1"/>
  <c r="EX30" i="1"/>
  <c r="EV31" i="1"/>
  <c r="EX31" i="1"/>
  <c r="EY33" i="1"/>
  <c r="EY30" i="1"/>
  <c r="EW31" i="1"/>
  <c r="EV30" i="1"/>
  <c r="EV32" i="1"/>
  <c r="FB32" i="1" s="1"/>
  <c r="FC32" i="1" s="1"/>
  <c r="EY32" i="1"/>
  <c r="EV33" i="1"/>
  <c r="EZ32" i="1"/>
  <c r="FF42" i="1"/>
  <c r="FG42" i="1" s="1"/>
  <c r="EZ31" i="1"/>
  <c r="EO43" i="1"/>
  <c r="EY43" i="1"/>
  <c r="EX43" i="1"/>
  <c r="EZ43" i="1"/>
  <c r="EV43" i="1"/>
  <c r="EW43" i="1"/>
  <c r="FF34" i="1"/>
  <c r="EZ30" i="1"/>
  <c r="FG23" i="1"/>
  <c r="FG10" i="1"/>
  <c r="FH16" i="1"/>
  <c r="FB42" i="1"/>
  <c r="FC42" i="1" s="1"/>
  <c r="FH21" i="1"/>
  <c r="FH26" i="1"/>
  <c r="FG37" i="1"/>
  <c r="FH37" i="1"/>
  <c r="FG38" i="1"/>
  <c r="FH38" i="1"/>
  <c r="FC41" i="1"/>
  <c r="FC35" i="1"/>
  <c r="FG34" i="1"/>
  <c r="FH34" i="1"/>
  <c r="EN27" i="1"/>
  <c r="EP27" i="1"/>
  <c r="DL27" i="1"/>
  <c r="BL27" i="1"/>
  <c r="AA27" i="1"/>
  <c r="FF33" i="1" l="1"/>
  <c r="FB31" i="1"/>
  <c r="FC31" i="1" s="1"/>
  <c r="FH42" i="1"/>
  <c r="FF32" i="1"/>
  <c r="FG32" i="1" s="1"/>
  <c r="FB43" i="1"/>
  <c r="FC43" i="1" s="1"/>
  <c r="FB30" i="1"/>
  <c r="FC30" i="1" s="1"/>
  <c r="FH33" i="1"/>
  <c r="FG33" i="1"/>
  <c r="FH32" i="1"/>
  <c r="FF31" i="1"/>
  <c r="FF30" i="1"/>
  <c r="FB33" i="1"/>
  <c r="FC33" i="1" s="1"/>
  <c r="EO27" i="1"/>
  <c r="EQ27" i="1" s="1"/>
  <c r="EY27" i="1"/>
  <c r="EX27" i="1"/>
  <c r="EW27" i="1"/>
  <c r="EV27" i="1"/>
  <c r="EZ27" i="1"/>
  <c r="FF43" i="1"/>
  <c r="BV27" i="1"/>
  <c r="BW27" i="1"/>
  <c r="BX27" i="1"/>
  <c r="BU27" i="1"/>
  <c r="BY27" i="1"/>
  <c r="BT27" i="1"/>
  <c r="FG35" i="1"/>
  <c r="FH35" i="1"/>
  <c r="FH41" i="1"/>
  <c r="FG41" i="1"/>
  <c r="EQ22" i="1"/>
  <c r="CW28" i="1"/>
  <c r="EQ43" i="1"/>
  <c r="EQ42" i="1"/>
  <c r="EQ41" i="1"/>
  <c r="EQ40" i="1"/>
  <c r="EQ39" i="1"/>
  <c r="EQ38" i="1"/>
  <c r="EQ37" i="1"/>
  <c r="EQ36" i="1"/>
  <c r="EQ35" i="1"/>
  <c r="EQ34" i="1"/>
  <c r="EQ33" i="1"/>
  <c r="EQ32" i="1"/>
  <c r="EQ31" i="1"/>
  <c r="EQ30" i="1"/>
  <c r="EQ29" i="1"/>
  <c r="EQ26" i="1"/>
  <c r="EQ25" i="1"/>
  <c r="EQ24" i="1"/>
  <c r="EQ23" i="1"/>
  <c r="EQ21" i="1"/>
  <c r="FB27" i="1" l="1"/>
  <c r="FE27" i="1"/>
  <c r="FF27" i="1"/>
  <c r="FH30" i="1"/>
  <c r="FG30" i="1"/>
  <c r="FH31" i="1"/>
  <c r="FG31" i="1"/>
  <c r="EO28" i="1"/>
  <c r="EQ28" i="1" s="1"/>
  <c r="EZ28" i="1"/>
  <c r="EX28" i="1"/>
  <c r="FF28" i="1" s="1"/>
  <c r="EW28" i="1"/>
  <c r="EV28" i="1"/>
  <c r="BZ27" i="1"/>
  <c r="FG27" i="1"/>
  <c r="FC27" i="1"/>
  <c r="FG43" i="1"/>
  <c r="FH43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6" i="1"/>
  <c r="BM5" i="1"/>
  <c r="BM4" i="1"/>
  <c r="EQ20" i="1"/>
  <c r="EQ19" i="1"/>
  <c r="EQ18" i="1"/>
  <c r="EQ17" i="1"/>
  <c r="EQ16" i="1"/>
  <c r="EQ15" i="1"/>
  <c r="EQ14" i="1"/>
  <c r="EQ13" i="1"/>
  <c r="EQ12" i="1"/>
  <c r="EQ11" i="1"/>
  <c r="EQ10" i="1"/>
  <c r="EQ9" i="1"/>
  <c r="EQ8" i="1"/>
  <c r="EQ6" i="1"/>
  <c r="EQ5" i="1"/>
  <c r="EQ4" i="1"/>
  <c r="EQ7" i="1"/>
  <c r="BM7" i="1"/>
  <c r="FB28" i="1" l="1"/>
  <c r="FH27" i="1"/>
  <c r="BO44" i="1"/>
  <c r="CA44" i="1"/>
  <c r="FC28" i="1"/>
  <c r="BO9" i="1"/>
  <c r="CA9" i="1"/>
  <c r="BO21" i="1"/>
  <c r="CA21" i="1"/>
  <c r="BO33" i="1"/>
  <c r="CA33" i="1"/>
  <c r="BO34" i="1"/>
  <c r="CA34" i="1"/>
  <c r="BO23" i="1"/>
  <c r="CA23" i="1"/>
  <c r="BO35" i="1"/>
  <c r="CA35" i="1"/>
  <c r="BO36" i="1"/>
  <c r="CA36" i="1"/>
  <c r="BO13" i="1"/>
  <c r="CA13" i="1"/>
  <c r="BO25" i="1"/>
  <c r="CA25" i="1"/>
  <c r="BO37" i="1"/>
  <c r="CA37" i="1"/>
  <c r="BO14" i="1"/>
  <c r="CA14" i="1"/>
  <c r="BO26" i="1"/>
  <c r="CA26" i="1"/>
  <c r="BO38" i="1"/>
  <c r="CA38" i="1"/>
  <c r="BO10" i="1"/>
  <c r="CA10" i="1"/>
  <c r="BO15" i="1"/>
  <c r="CA15" i="1"/>
  <c r="BO27" i="1"/>
  <c r="CA27" i="1"/>
  <c r="BO39" i="1"/>
  <c r="CA39" i="1"/>
  <c r="BO16" i="1"/>
  <c r="CA16" i="1"/>
  <c r="BO28" i="1"/>
  <c r="CA28" i="1"/>
  <c r="BO40" i="1"/>
  <c r="CA40" i="1"/>
  <c r="BO11" i="1"/>
  <c r="CA11" i="1"/>
  <c r="BO4" i="1"/>
  <c r="CA4" i="1"/>
  <c r="BO17" i="1"/>
  <c r="CA17" i="1"/>
  <c r="BO29" i="1"/>
  <c r="CA29" i="1"/>
  <c r="BO41" i="1"/>
  <c r="CA41" i="1"/>
  <c r="BO24" i="1"/>
  <c r="CA24" i="1"/>
  <c r="BO5" i="1"/>
  <c r="CA5" i="1"/>
  <c r="BO18" i="1"/>
  <c r="CA18" i="1"/>
  <c r="BO30" i="1"/>
  <c r="CA30" i="1"/>
  <c r="BO42" i="1"/>
  <c r="CA42" i="1"/>
  <c r="BO7" i="1"/>
  <c r="CA7" i="1"/>
  <c r="BO6" i="1"/>
  <c r="CA6" i="1"/>
  <c r="BO19" i="1"/>
  <c r="CA19" i="1"/>
  <c r="BO31" i="1"/>
  <c r="CA31" i="1"/>
  <c r="BO43" i="1"/>
  <c r="CA43" i="1"/>
  <c r="BO22" i="1"/>
  <c r="CA22" i="1"/>
  <c r="BO12" i="1"/>
  <c r="CA12" i="1"/>
  <c r="BO8" i="1"/>
  <c r="CA8" i="1"/>
  <c r="BO20" i="1"/>
  <c r="CA20" i="1"/>
  <c r="BO32" i="1"/>
  <c r="CA32" i="1"/>
  <c r="FH28" i="1" l="1"/>
  <c r="FH46" i="1" s="1"/>
  <c r="FG28" i="1"/>
</calcChain>
</file>

<file path=xl/sharedStrings.xml><?xml version="1.0" encoding="utf-8"?>
<sst xmlns="http://schemas.openxmlformats.org/spreadsheetml/2006/main" count="174" uniqueCount="151">
  <si>
    <t>Revenues</t>
  </si>
  <si>
    <t>Land and Land Office Fees</t>
  </si>
  <si>
    <t>Auction Commission</t>
  </si>
  <si>
    <t>Auction Duties</t>
  </si>
  <si>
    <t xml:space="preserve">Dividends on Bank Stock </t>
  </si>
  <si>
    <t xml:space="preserve">Dividends on Bridge and Turnpike Stock </t>
  </si>
  <si>
    <t>Tax on Bank dividends</t>
  </si>
  <si>
    <t>Tax on Offices</t>
  </si>
  <si>
    <t>Tavern Licenses</t>
  </si>
  <si>
    <t>Militia and Exempt fines</t>
  </si>
  <si>
    <t>Loans</t>
  </si>
  <si>
    <t>Old Debts and Miscellaneous</t>
  </si>
  <si>
    <t>Total</t>
  </si>
  <si>
    <t>Expenditures</t>
  </si>
  <si>
    <t>Internal Improvements</t>
  </si>
  <si>
    <t>Expenses of the Government</t>
  </si>
  <si>
    <t>Militia Expenses</t>
  </si>
  <si>
    <t>Pensions and Gratuities</t>
  </si>
  <si>
    <t>Education, Deaf &amp; Dumb Institutions</t>
  </si>
  <si>
    <t>Pennsylvania Claimants</t>
  </si>
  <si>
    <t>Penitentiary at Philadelphia</t>
  </si>
  <si>
    <t>Penitentiary near Pittsburgh</t>
  </si>
  <si>
    <t>Conveying Convicts</t>
  </si>
  <si>
    <t>Loans Paid</t>
  </si>
  <si>
    <t>Interest on Loans</t>
  </si>
  <si>
    <t>Expenses of late war</t>
  </si>
  <si>
    <t>Miscellaneous</t>
  </si>
  <si>
    <t>Start of Year Balance in the Treasury</t>
  </si>
  <si>
    <t>End of Year Balance in the Treasury</t>
  </si>
  <si>
    <t>Tax on writs</t>
  </si>
  <si>
    <t>Duties on Retailers of Foreign merchandize</t>
  </si>
  <si>
    <t>State maps</t>
  </si>
  <si>
    <t>Collateral inheritances</t>
  </si>
  <si>
    <t>Pamphlet laws</t>
  </si>
  <si>
    <t>Tin and Clock Peddler's Licenses</t>
  </si>
  <si>
    <t>Hawker's and Pedlers licens</t>
  </si>
  <si>
    <t>Escheats</t>
  </si>
  <si>
    <t>Premium on Loans</t>
  </si>
  <si>
    <t>Commissioners of the Internal Improvement Fund</t>
  </si>
  <si>
    <t>Members of Court Martial</t>
  </si>
  <si>
    <t>Conveying fugitives</t>
  </si>
  <si>
    <t>Defense of the State</t>
  </si>
  <si>
    <t>Internal Improvement Fund</t>
  </si>
  <si>
    <t>Tax on Corporation Stocks</t>
  </si>
  <si>
    <t>Tax on Real Estate and Personal Estates</t>
  </si>
  <si>
    <t>Retailers' licenses</t>
  </si>
  <si>
    <t>Brokers' Licenses</t>
  </si>
  <si>
    <t>United States</t>
  </si>
  <si>
    <t>Nicholson Estate</t>
  </si>
  <si>
    <t>Enrollment of Charters</t>
  </si>
  <si>
    <t>Error</t>
  </si>
  <si>
    <t>Sales of Public Property</t>
  </si>
  <si>
    <t>Fees Secretary State's/Auditor General office</t>
  </si>
  <si>
    <t>House of Refuge</t>
  </si>
  <si>
    <t>Nicholson Lands</t>
  </si>
  <si>
    <t>Geological Survey</t>
  </si>
  <si>
    <t>Cancelled Relief Notes</t>
  </si>
  <si>
    <t>Huntington breach, special acts</t>
  </si>
  <si>
    <t>Domestic Creditors</t>
  </si>
  <si>
    <t>State Library</t>
  </si>
  <si>
    <t>Damages, special acts</t>
  </si>
  <si>
    <t>Public Grounds, buildings and water</t>
  </si>
  <si>
    <t>Recorded Total</t>
  </si>
  <si>
    <t>error</t>
  </si>
  <si>
    <t>County rates and levies</t>
  </si>
  <si>
    <t>Tax on Loan Companies</t>
  </si>
  <si>
    <t>Interest on Deposits</t>
  </si>
  <si>
    <t>Dickinson college lands</t>
  </si>
  <si>
    <t>Mitchell scrip</t>
  </si>
  <si>
    <t>Theater, circus and menagerie licenses</t>
  </si>
  <si>
    <t>Billiard room, bowling saloon and ten-pin alley license</t>
  </si>
  <si>
    <t>Eating house, beer house and restaurant licenses</t>
  </si>
  <si>
    <t>Patent medicine licences</t>
  </si>
  <si>
    <t>Foreign insurance agencies</t>
  </si>
  <si>
    <t>Canal fines</t>
  </si>
  <si>
    <t>Tax on Enrollment of Laws</t>
  </si>
  <si>
    <t>Tax on Loans</t>
  </si>
  <si>
    <t>Tax on Railroad Tonnage</t>
  </si>
  <si>
    <t>Accrued Interest</t>
  </si>
  <si>
    <t>Refunded Cash</t>
  </si>
  <si>
    <t>Pennsylvania State Lunatic Hospital</t>
  </si>
  <si>
    <t>Colonial Records</t>
  </si>
  <si>
    <t>Distillery and brewery licenses</t>
  </si>
  <si>
    <t>Penn Volun in late war with Mexico</t>
  </si>
  <si>
    <t>Charitable Institutions</t>
  </si>
  <si>
    <t>Commissioners of the Sinking Fund</t>
  </si>
  <si>
    <t>Guaranteed Interest</t>
  </si>
  <si>
    <t>Damages on Public  Works</t>
  </si>
  <si>
    <t>Special commissioners</t>
  </si>
  <si>
    <t>Abatement of State tax</t>
  </si>
  <si>
    <t>Colonial Records and Penn Archives</t>
  </si>
  <si>
    <t>Penn Agricultural Society</t>
  </si>
  <si>
    <t>Penn Colonization Society</t>
  </si>
  <si>
    <t>Mercantile Appraisers</t>
  </si>
  <si>
    <t>Counsel fees and commissions</t>
  </si>
  <si>
    <t>Philadelphia riots</t>
  </si>
  <si>
    <t>oyster cellars</t>
  </si>
  <si>
    <t>Sale of Stocks of the State</t>
  </si>
  <si>
    <t>Premium on silk</t>
  </si>
  <si>
    <t>Canal and Railroad Tolls</t>
  </si>
  <si>
    <t>Millers' Tax</t>
  </si>
  <si>
    <t>Sales of Turnpike Stock</t>
  </si>
  <si>
    <t>Sanbury and Erie Railroad, excess on sales of canals</t>
  </si>
  <si>
    <t>Depreciated fund in the Treasury, unavailable</t>
  </si>
  <si>
    <t>Fines and Forfeitures</t>
  </si>
  <si>
    <t>depreciated funds in the Treasury, unavailable</t>
  </si>
  <si>
    <t>Williamsport and Elmira Railroad Company</t>
  </si>
  <si>
    <t>Sample Licenses</t>
  </si>
  <si>
    <t>Colonial Records and Archives</t>
  </si>
  <si>
    <t>New York and Erie Railroad Annuity for right of way</t>
  </si>
  <si>
    <t>State Arsenal</t>
  </si>
  <si>
    <t>Bridge and Turnpike Road Companies</t>
  </si>
  <si>
    <t>City of Pittsburgh</t>
  </si>
  <si>
    <t>Deposits in the Bank of the United States</t>
  </si>
  <si>
    <t>Deposit in Bank of United States, unavailable</t>
  </si>
  <si>
    <t>Taxes on Salaries/Registered Tax</t>
  </si>
  <si>
    <t>Amendments to PA constitution</t>
  </si>
  <si>
    <t>Reissuing relief notes</t>
  </si>
  <si>
    <t>Railroad Companies</t>
  </si>
  <si>
    <t>Installments on account of the Arch-street prison</t>
  </si>
  <si>
    <t>United states</t>
  </si>
  <si>
    <t>Stephen Girard's legacy</t>
  </si>
  <si>
    <t>Revenue from State Assets</t>
  </si>
  <si>
    <t>Revenue from Tolls</t>
  </si>
  <si>
    <t>Revenue from the US Government</t>
  </si>
  <si>
    <t>All Other Revenue</t>
  </si>
  <si>
    <t>Loans and Asset Sales</t>
  </si>
  <si>
    <t>Interest Payments</t>
  </si>
  <si>
    <t>All other Expenditures</t>
  </si>
  <si>
    <t>Old Claim Public Works, Paid 5/22/1856</t>
  </si>
  <si>
    <t>Revenue Net Loans</t>
  </si>
  <si>
    <t>Expenditures Net Loans</t>
  </si>
  <si>
    <t>Gross Surplus</t>
  </si>
  <si>
    <t>Primary Surplus</t>
  </si>
  <si>
    <t>Delaware Division, Pennsylvania Canal</t>
  </si>
  <si>
    <t>Interest on Funded Debt</t>
  </si>
  <si>
    <t>Interest on Relief Notes</t>
  </si>
  <si>
    <t>Gross Interest on Loans Including Certs Redeemed</t>
  </si>
  <si>
    <t>Taxes</t>
  </si>
  <si>
    <t>Internal Improvements from AG Reports</t>
  </si>
  <si>
    <t>Loan Repayments</t>
  </si>
  <si>
    <t>Interest</t>
  </si>
  <si>
    <t>Improvements</t>
  </si>
  <si>
    <t>Internal Improvement Fund from AG Report</t>
  </si>
  <si>
    <t>Difference between specie and paper money</t>
  </si>
  <si>
    <t>Internal Improve Discrepency</t>
  </si>
  <si>
    <t>Asset Purchases</t>
  </si>
  <si>
    <t>Revenue from Tolls and other Canal/Railroad Revenue</t>
  </si>
  <si>
    <t>Interest payments</t>
  </si>
  <si>
    <t>All other</t>
  </si>
  <si>
    <t>Penn Railroad Co bonds no 1, 2 &amp; 3 redeemed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</si>
</sst>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0" fillId="2" borderId="0" xfId="1" applyFont="1" applyFill="1"/>
    <xf numFmtId="43" fontId="0" fillId="3" borderId="0" xfId="1" applyFont="1" applyFill="1"/>
    <xf numFmtId="43" fontId="0" fillId="0" borderId="0" xfId="1" applyFont="1" applyFill="1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2" borderId="0" xfId="0" applyFill="1"/>
    <xf numFmtId="4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0" fillId="8" borderId="0" xfId="1" applyFont="1" applyFill="1"/>
    <xf numFmtId="43" fontId="0" fillId="0" borderId="0" xfId="0" applyNumberFormat="1" applyAlignment="1">
      <alignment horizontal="center" vertical="center" wrapText="1"/>
    </xf>
    <xf numFmtId="43" fontId="0" fillId="9" borderId="0" xfId="1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A62E-76DE-43C5-8DFC-DD056601034D}">
  <dimension ref="A1:FH51"/>
  <sheetViews>
    <sheetView tabSelected="1" workbookViewId="0">
      <pane xSplit="1" ySplit="3" topLeftCell="EQ27" activePane="bottomRight" state="frozen"/>
      <selection pane="topRight" activeCell="B1" sqref="B1"/>
      <selection pane="bottomLeft" activeCell="A4" sqref="A4"/>
      <selection pane="bottomRight" activeCell="ER30" sqref="ER30"/>
    </sheetView>
  </sheetViews>
  <sheetFormatPr defaultRowHeight="14.5" x14ac:dyDescent="0.35"/>
  <cols>
    <col min="2" max="70" width="16" customWidth="1"/>
    <col min="71" max="71" width="3.90625" customWidth="1"/>
    <col min="72" max="72" width="16" customWidth="1"/>
    <col min="73" max="79" width="16.08984375" style="10" customWidth="1"/>
    <col min="80" max="80" width="16.6328125" customWidth="1"/>
    <col min="81" max="150" width="16" customWidth="1"/>
    <col min="151" max="151" width="3.26953125" customWidth="1"/>
    <col min="152" max="153" width="17.90625" customWidth="1"/>
    <col min="154" max="158" width="16" customWidth="1"/>
    <col min="159" max="159" width="13.81640625" customWidth="1"/>
    <col min="160" max="160" width="3.36328125" customWidth="1"/>
    <col min="161" max="161" width="17.08984375" customWidth="1"/>
    <col min="162" max="162" width="16.81640625" customWidth="1"/>
    <col min="163" max="164" width="16" customWidth="1"/>
  </cols>
  <sheetData>
    <row r="1" spans="1:164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5"/>
      <c r="BR1" s="6"/>
      <c r="BT1" s="14"/>
      <c r="CC1" s="22" t="s">
        <v>13</v>
      </c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"/>
      <c r="EP1" s="3"/>
      <c r="EQ1" s="3"/>
    </row>
    <row r="2" spans="1:164" x14ac:dyDescent="0.35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T2" s="15"/>
      <c r="CC2" s="23" t="s">
        <v>14</v>
      </c>
      <c r="CD2" s="23"/>
      <c r="CE2" s="23"/>
      <c r="CF2" s="23"/>
      <c r="CG2" s="23"/>
      <c r="CH2" s="24" t="s">
        <v>42</v>
      </c>
      <c r="CI2" s="24"/>
      <c r="CJ2" s="24"/>
      <c r="CK2" s="24"/>
      <c r="CL2" s="24"/>
      <c r="CM2" s="24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</row>
    <row r="3" spans="1:164" ht="60.5" customHeight="1" x14ac:dyDescent="0.3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64</v>
      </c>
      <c r="I3" s="1" t="s">
        <v>96</v>
      </c>
      <c r="J3" s="1" t="s">
        <v>65</v>
      </c>
      <c r="K3" s="1" t="s">
        <v>43</v>
      </c>
      <c r="L3" s="1" t="s">
        <v>44</v>
      </c>
      <c r="M3" s="1" t="s">
        <v>7</v>
      </c>
      <c r="N3" s="1" t="s">
        <v>29</v>
      </c>
      <c r="O3" s="1" t="s">
        <v>115</v>
      </c>
      <c r="P3" s="1" t="s">
        <v>75</v>
      </c>
      <c r="Q3" s="1" t="s">
        <v>76</v>
      </c>
      <c r="R3" s="1" t="s">
        <v>77</v>
      </c>
      <c r="S3" s="1" t="s">
        <v>8</v>
      </c>
      <c r="T3" s="1" t="s">
        <v>30</v>
      </c>
      <c r="U3" s="1" t="s">
        <v>100</v>
      </c>
      <c r="V3" s="1" t="s">
        <v>73</v>
      </c>
      <c r="W3" s="1" t="s">
        <v>31</v>
      </c>
      <c r="X3" s="1" t="s">
        <v>32</v>
      </c>
      <c r="Y3" s="1" t="s">
        <v>33</v>
      </c>
      <c r="Z3" s="1" t="s">
        <v>9</v>
      </c>
      <c r="AA3" s="1" t="s">
        <v>52</v>
      </c>
      <c r="AB3" s="1" t="s">
        <v>45</v>
      </c>
      <c r="AC3" s="1" t="s">
        <v>107</v>
      </c>
      <c r="AD3" s="1" t="s">
        <v>34</v>
      </c>
      <c r="AE3" s="1" t="s">
        <v>35</v>
      </c>
      <c r="AF3" s="1" t="s">
        <v>46</v>
      </c>
      <c r="AG3" s="1" t="s">
        <v>82</v>
      </c>
      <c r="AH3" s="1" t="s">
        <v>69</v>
      </c>
      <c r="AI3" s="1" t="s">
        <v>70</v>
      </c>
      <c r="AJ3" s="1" t="s">
        <v>71</v>
      </c>
      <c r="AK3" s="1" t="s">
        <v>72</v>
      </c>
      <c r="AL3" s="1" t="s">
        <v>36</v>
      </c>
      <c r="AM3" s="1" t="s">
        <v>99</v>
      </c>
      <c r="AN3" s="1" t="s">
        <v>101</v>
      </c>
      <c r="AO3" s="1" t="s">
        <v>150</v>
      </c>
      <c r="AP3" s="1" t="s">
        <v>102</v>
      </c>
      <c r="AQ3" s="1" t="s">
        <v>74</v>
      </c>
      <c r="AR3" s="1" t="s">
        <v>109</v>
      </c>
      <c r="AS3" s="1" t="s">
        <v>47</v>
      </c>
      <c r="AT3" s="1" t="s">
        <v>48</v>
      </c>
      <c r="AU3" s="1" t="s">
        <v>67</v>
      </c>
      <c r="AV3" s="1" t="s">
        <v>80</v>
      </c>
      <c r="AW3" s="1" t="s">
        <v>81</v>
      </c>
      <c r="AX3" s="1" t="s">
        <v>49</v>
      </c>
      <c r="AY3" s="1" t="s">
        <v>119</v>
      </c>
      <c r="AZ3" s="1" t="s">
        <v>10</v>
      </c>
      <c r="BA3" s="1" t="s">
        <v>37</v>
      </c>
      <c r="BB3" s="1" t="s">
        <v>66</v>
      </c>
      <c r="BC3" s="1" t="s">
        <v>24</v>
      </c>
      <c r="BD3" s="1" t="s">
        <v>78</v>
      </c>
      <c r="BE3" s="1" t="s">
        <v>97</v>
      </c>
      <c r="BF3" s="1" t="s">
        <v>51</v>
      </c>
      <c r="BG3" s="1" t="s">
        <v>108</v>
      </c>
      <c r="BH3" s="1" t="s">
        <v>38</v>
      </c>
      <c r="BI3" s="1" t="s">
        <v>104</v>
      </c>
      <c r="BJ3" s="1" t="s">
        <v>79</v>
      </c>
      <c r="BK3" s="1" t="s">
        <v>121</v>
      </c>
      <c r="BL3" s="1" t="s">
        <v>11</v>
      </c>
      <c r="BM3" s="1" t="s">
        <v>12</v>
      </c>
      <c r="BN3" s="1" t="s">
        <v>62</v>
      </c>
      <c r="BO3" s="1" t="s">
        <v>50</v>
      </c>
      <c r="BP3" s="1" t="s">
        <v>27</v>
      </c>
      <c r="BQ3" s="1" t="s">
        <v>103</v>
      </c>
      <c r="BR3" s="1" t="s">
        <v>113</v>
      </c>
      <c r="BT3" s="1" t="s">
        <v>138</v>
      </c>
      <c r="BU3" s="11" t="s">
        <v>122</v>
      </c>
      <c r="BV3" s="11" t="s">
        <v>147</v>
      </c>
      <c r="BW3" s="11" t="s">
        <v>125</v>
      </c>
      <c r="BX3" s="11" t="s">
        <v>124</v>
      </c>
      <c r="BY3" s="11" t="s">
        <v>126</v>
      </c>
      <c r="BZ3" s="11" t="s">
        <v>12</v>
      </c>
      <c r="CA3" s="11" t="s">
        <v>50</v>
      </c>
      <c r="CC3" s="16" t="s">
        <v>139</v>
      </c>
      <c r="CD3" s="16" t="s">
        <v>140</v>
      </c>
      <c r="CE3" s="16" t="s">
        <v>141</v>
      </c>
      <c r="CF3" s="16" t="s">
        <v>142</v>
      </c>
      <c r="CG3" s="16" t="s">
        <v>50</v>
      </c>
      <c r="CH3" s="17" t="s">
        <v>143</v>
      </c>
      <c r="CI3" s="17" t="s">
        <v>140</v>
      </c>
      <c r="CJ3" s="17" t="s">
        <v>141</v>
      </c>
      <c r="CK3" s="17" t="s">
        <v>144</v>
      </c>
      <c r="CL3" s="17" t="s">
        <v>142</v>
      </c>
      <c r="CM3" s="17" t="s">
        <v>50</v>
      </c>
      <c r="CN3" s="1" t="s">
        <v>118</v>
      </c>
      <c r="CO3" s="1" t="s">
        <v>111</v>
      </c>
      <c r="CP3" s="1" t="s">
        <v>15</v>
      </c>
      <c r="CQ3" s="1" t="s">
        <v>16</v>
      </c>
      <c r="CR3" s="1" t="s">
        <v>83</v>
      </c>
      <c r="CS3" s="1" t="s">
        <v>39</v>
      </c>
      <c r="CT3" s="1" t="s">
        <v>110</v>
      </c>
      <c r="CU3" s="1" t="s">
        <v>17</v>
      </c>
      <c r="CV3" s="1" t="s">
        <v>84</v>
      </c>
      <c r="CW3" s="1" t="s">
        <v>18</v>
      </c>
      <c r="CX3" s="1" t="s">
        <v>19</v>
      </c>
      <c r="CY3" s="1" t="s">
        <v>20</v>
      </c>
      <c r="CZ3" s="1" t="s">
        <v>21</v>
      </c>
      <c r="DA3" s="1" t="s">
        <v>53</v>
      </c>
      <c r="DB3" s="1" t="s">
        <v>54</v>
      </c>
      <c r="DC3" s="1" t="s">
        <v>55</v>
      </c>
      <c r="DD3" s="1" t="s">
        <v>22</v>
      </c>
      <c r="DE3" s="1" t="s">
        <v>40</v>
      </c>
      <c r="DF3" s="1" t="s">
        <v>116</v>
      </c>
      <c r="DG3" s="1" t="s">
        <v>90</v>
      </c>
      <c r="DH3" s="1" t="s">
        <v>91</v>
      </c>
      <c r="DI3" s="1" t="s">
        <v>92</v>
      </c>
      <c r="DJ3" s="1" t="s">
        <v>31</v>
      </c>
      <c r="DK3" s="1" t="s">
        <v>61</v>
      </c>
      <c r="DL3" s="1" t="s">
        <v>60</v>
      </c>
      <c r="DM3" s="1" t="s">
        <v>59</v>
      </c>
      <c r="DN3" s="1" t="s">
        <v>23</v>
      </c>
      <c r="DO3" s="1" t="s">
        <v>137</v>
      </c>
      <c r="DP3" s="1" t="s">
        <v>136</v>
      </c>
      <c r="DQ3" s="1" t="s">
        <v>135</v>
      </c>
      <c r="DR3" s="1" t="s">
        <v>86</v>
      </c>
      <c r="DS3" s="1" t="s">
        <v>58</v>
      </c>
      <c r="DT3" s="1" t="s">
        <v>85</v>
      </c>
      <c r="DU3" s="1" t="s">
        <v>106</v>
      </c>
      <c r="DV3" s="1" t="s">
        <v>129</v>
      </c>
      <c r="DW3" s="1" t="s">
        <v>134</v>
      </c>
      <c r="DX3" s="1" t="s">
        <v>87</v>
      </c>
      <c r="DY3" s="1" t="s">
        <v>88</v>
      </c>
      <c r="DZ3" s="1" t="s">
        <v>41</v>
      </c>
      <c r="EA3" s="1" t="s">
        <v>25</v>
      </c>
      <c r="EB3" s="1" t="s">
        <v>57</v>
      </c>
      <c r="EC3" s="1" t="s">
        <v>95</v>
      </c>
      <c r="ED3" s="1" t="s">
        <v>112</v>
      </c>
      <c r="EE3" s="1" t="s">
        <v>120</v>
      </c>
      <c r="EF3" s="1" t="s">
        <v>68</v>
      </c>
      <c r="EG3" s="1" t="s">
        <v>89</v>
      </c>
      <c r="EH3" s="1" t="s">
        <v>93</v>
      </c>
      <c r="EI3" s="1" t="s">
        <v>94</v>
      </c>
      <c r="EJ3" s="1" t="s">
        <v>56</v>
      </c>
      <c r="EK3" s="1" t="s">
        <v>117</v>
      </c>
      <c r="EL3" s="1" t="s">
        <v>36</v>
      </c>
      <c r="EM3" s="1" t="s">
        <v>98</v>
      </c>
      <c r="EN3" s="1" t="s">
        <v>26</v>
      </c>
      <c r="EO3" s="1" t="s">
        <v>12</v>
      </c>
      <c r="EP3" s="1" t="s">
        <v>62</v>
      </c>
      <c r="EQ3" s="1" t="s">
        <v>63</v>
      </c>
      <c r="ER3" s="1" t="s">
        <v>28</v>
      </c>
      <c r="ES3" s="1" t="s">
        <v>105</v>
      </c>
      <c r="ET3" s="1" t="s">
        <v>114</v>
      </c>
      <c r="EV3" s="1" t="s">
        <v>140</v>
      </c>
      <c r="EW3" s="1" t="s">
        <v>146</v>
      </c>
      <c r="EX3" s="1" t="s">
        <v>127</v>
      </c>
      <c r="EY3" s="1" t="s">
        <v>14</v>
      </c>
      <c r="EZ3" s="1" t="s">
        <v>128</v>
      </c>
      <c r="FA3" s="1" t="s">
        <v>145</v>
      </c>
      <c r="FB3" s="1" t="s">
        <v>12</v>
      </c>
      <c r="FC3" s="1" t="s">
        <v>50</v>
      </c>
      <c r="FE3" s="1" t="s">
        <v>130</v>
      </c>
      <c r="FF3" s="1" t="s">
        <v>131</v>
      </c>
      <c r="FG3" s="1" t="s">
        <v>132</v>
      </c>
      <c r="FH3" s="1" t="s">
        <v>133</v>
      </c>
    </row>
    <row r="4" spans="1:164" ht="17.5" customHeight="1" x14ac:dyDescent="0.35">
      <c r="A4">
        <v>1820</v>
      </c>
      <c r="B4" s="4">
        <v>24182.560000000001</v>
      </c>
      <c r="C4" s="4">
        <v>0</v>
      </c>
      <c r="D4" s="4">
        <v>49210.51</v>
      </c>
      <c r="E4" s="4">
        <v>127027</v>
      </c>
      <c r="F4" s="4">
        <v>0</v>
      </c>
      <c r="G4" s="4">
        <v>28430.36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16830.7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27800.76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7891.22</v>
      </c>
      <c r="AA4" s="4">
        <v>905.19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150000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8523.26</v>
      </c>
      <c r="BM4" s="4">
        <f t="shared" ref="BM4:BM25" si="0">SUM(B4:BL4)</f>
        <v>440801.56</v>
      </c>
      <c r="BN4" s="4">
        <v>440801.56</v>
      </c>
      <c r="BO4" s="4">
        <f t="shared" ref="BO4:BO44" si="1">+BM4-BN4</f>
        <v>0</v>
      </c>
      <c r="BP4" s="4">
        <v>39591.4</v>
      </c>
      <c r="BQ4" s="4"/>
      <c r="BR4" s="4"/>
      <c r="BS4" s="7"/>
      <c r="BT4" s="4">
        <f>SUMPRODUCT(B$46:BL$46,B4:BL4)</f>
        <v>123177.51999999999</v>
      </c>
      <c r="BU4" s="9">
        <f>SUMPRODUCT(B$47:BL$47,B4:BL4)</f>
        <v>127027</v>
      </c>
      <c r="BV4" s="9">
        <f>SUMPRODUCT(B$48:BL$48,B4:BL4)</f>
        <v>0</v>
      </c>
      <c r="BW4" s="9">
        <f t="shared" ref="BW4:BW44" si="2">SUMPRODUCT(B$50:BL$50,B4:BL4)</f>
        <v>40597.040000000001</v>
      </c>
      <c r="BX4" s="9">
        <f t="shared" ref="BX4:BX44" si="3">SUMPRODUCT(B$49:BL$49,B4:BL4)</f>
        <v>0</v>
      </c>
      <c r="BY4" s="9">
        <f t="shared" ref="BY4:BY44" si="4">SUMPRODUCT(B$51:BL$51,B4:BL4)</f>
        <v>150000</v>
      </c>
      <c r="BZ4" s="9">
        <f>SUM(BT4:BY4)</f>
        <v>440801.56</v>
      </c>
      <c r="CA4" s="9">
        <f t="shared" ref="CA4:CA44" si="5">+BZ4-BM4</f>
        <v>0</v>
      </c>
      <c r="CB4" s="7"/>
      <c r="CC4" s="4">
        <v>114864.77</v>
      </c>
      <c r="CD4" s="4"/>
      <c r="CE4" s="4"/>
      <c r="CF4" s="4">
        <f>+CC4</f>
        <v>114864.77</v>
      </c>
      <c r="CG4" s="4">
        <f t="shared" ref="CG4:CG10" si="6">+CC4-CD4-CE4-CF4</f>
        <v>0</v>
      </c>
      <c r="CH4" s="4">
        <v>0</v>
      </c>
      <c r="CI4" s="4"/>
      <c r="CJ4" s="4"/>
      <c r="CK4" s="4"/>
      <c r="CL4" s="4"/>
      <c r="CM4" s="4"/>
      <c r="CN4" s="4">
        <v>0</v>
      </c>
      <c r="CO4" s="4">
        <v>0</v>
      </c>
      <c r="CP4" s="4">
        <v>187757.5</v>
      </c>
      <c r="CQ4" s="4">
        <v>15017.41</v>
      </c>
      <c r="CR4" s="4">
        <v>0</v>
      </c>
      <c r="CS4" s="4">
        <v>0</v>
      </c>
      <c r="CT4" s="4">
        <v>0</v>
      </c>
      <c r="CU4" s="4">
        <v>18643.32</v>
      </c>
      <c r="CV4" s="4">
        <v>0</v>
      </c>
      <c r="CW4" s="4">
        <v>0</v>
      </c>
      <c r="CX4" s="4">
        <v>4265.72</v>
      </c>
      <c r="CY4" s="4">
        <v>0</v>
      </c>
      <c r="CZ4" s="4">
        <v>23942.74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51006</v>
      </c>
      <c r="DL4" s="4">
        <v>0</v>
      </c>
      <c r="DM4" s="4">
        <v>0</v>
      </c>
      <c r="DN4" s="4">
        <v>0</v>
      </c>
      <c r="DO4" s="4">
        <v>17186.669999999998</v>
      </c>
      <c r="DP4" s="4"/>
      <c r="DQ4" s="4"/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/>
      <c r="DX4" s="4">
        <v>0</v>
      </c>
      <c r="DY4" s="4">
        <v>0</v>
      </c>
      <c r="DZ4" s="4">
        <v>0</v>
      </c>
      <c r="EA4" s="4">
        <v>1004.01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19354.91</v>
      </c>
      <c r="EO4" s="4">
        <f t="shared" ref="EO4:EO10" si="7">CC4 + CH4 +SUM(CN4:EN4)</f>
        <v>453043.05</v>
      </c>
      <c r="EP4" s="4">
        <v>453043.05</v>
      </c>
      <c r="EQ4" s="4">
        <f t="shared" ref="EQ4:EQ22" si="8">+EO4-EP4</f>
        <v>0</v>
      </c>
      <c r="ER4" s="4">
        <v>27369.9</v>
      </c>
      <c r="ES4" s="4"/>
      <c r="ET4" s="4"/>
      <c r="EU4" s="7"/>
      <c r="EV4" s="4">
        <f>SUMPRODUCT($CC$46:$EN$46,$CC4:$EN4)</f>
        <v>0</v>
      </c>
      <c r="EW4" s="4">
        <f>SUMPRODUCT($CC$47:$EN$47,$CC4:$EN4)</f>
        <v>0</v>
      </c>
      <c r="EX4" s="4">
        <f>SUMPRODUCT($CC$48:$EN$48,$CC4:$EN4)</f>
        <v>17186.669999999998</v>
      </c>
      <c r="EY4" s="4">
        <f>SUMPRODUCT($CC$49:$EN$49,$CC4:$EN4)</f>
        <v>165870.77000000002</v>
      </c>
      <c r="EZ4" s="4">
        <f>SUMPRODUCT($CC$50:$EN$50,$CC4:$EN4)</f>
        <v>269985.61</v>
      </c>
      <c r="FA4" s="13">
        <v>0</v>
      </c>
      <c r="FB4" s="13">
        <f t="shared" ref="FB4:FB44" si="9">SUM(EV4:FA4)</f>
        <v>453043.05</v>
      </c>
      <c r="FC4" s="13">
        <f t="shared" ref="FC4:FC44" si="10">+FB4-EO4</f>
        <v>0</v>
      </c>
      <c r="FD4" s="12"/>
      <c r="FE4" s="13">
        <f t="shared" ref="FE4:FE44" si="11">SUM(BT4:BX4)</f>
        <v>290801.56</v>
      </c>
      <c r="FF4" s="13">
        <f t="shared" ref="FF4:FF44" si="12">+EX4+EY4+EZ4+FA4</f>
        <v>453043.05</v>
      </c>
      <c r="FG4" s="13">
        <f t="shared" ref="FG4:FG43" si="13">+FE4-FF4</f>
        <v>-162241.49</v>
      </c>
      <c r="FH4" s="13">
        <f t="shared" ref="FH4:FH44" si="14">+FE4-(FF4-EX4)</f>
        <v>-145054.82</v>
      </c>
    </row>
    <row r="5" spans="1:164" x14ac:dyDescent="0.35">
      <c r="A5">
        <v>1821</v>
      </c>
      <c r="B5" s="4">
        <v>31689.42</v>
      </c>
      <c r="C5" s="4">
        <v>18400</v>
      </c>
      <c r="D5" s="4">
        <v>58777.93</v>
      </c>
      <c r="E5" s="4">
        <v>116056</v>
      </c>
      <c r="F5" s="4">
        <v>6800</v>
      </c>
      <c r="G5" s="4">
        <v>22294.51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12610.48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36601.514999999999</v>
      </c>
      <c r="T5" s="4">
        <v>2372.64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2932.29</v>
      </c>
      <c r="AA5" s="4">
        <v>2595.85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1100000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f>4446.68+432.08</f>
        <v>4878.76</v>
      </c>
      <c r="BJ5" s="4">
        <v>0</v>
      </c>
      <c r="BK5" s="4">
        <v>0</v>
      </c>
      <c r="BL5" s="4">
        <f>2463.12+2113.94</f>
        <v>4577.0599999999995</v>
      </c>
      <c r="BM5" s="4">
        <f t="shared" si="0"/>
        <v>1420586.4550000001</v>
      </c>
      <c r="BN5" s="4">
        <v>1420586.4950000001</v>
      </c>
      <c r="BO5" s="4">
        <f t="shared" si="1"/>
        <v>-4.0000000037252903E-2</v>
      </c>
      <c r="BP5" s="4">
        <v>27369.9</v>
      </c>
      <c r="BQ5" s="4"/>
      <c r="BR5" s="4"/>
      <c r="BS5" s="7"/>
      <c r="BT5" s="4">
        <f t="shared" ref="BT5:BT44" si="15">SUMPRODUCT(B$46:BL$46,B5:BL5)</f>
        <v>135252.92500000002</v>
      </c>
      <c r="BU5" s="9">
        <f t="shared" ref="BU5:BU44" si="16">SUMPRODUCT(B$47:BL$47,B5:BL5)</f>
        <v>122856</v>
      </c>
      <c r="BV5" s="9">
        <f t="shared" ref="BV5:BV44" si="17">SUMPRODUCT(B$48:BL$48,B5:BL5)</f>
        <v>0</v>
      </c>
      <c r="BW5" s="9">
        <f t="shared" si="2"/>
        <v>62477.53</v>
      </c>
      <c r="BX5" s="9">
        <f t="shared" si="3"/>
        <v>0</v>
      </c>
      <c r="BY5" s="9">
        <f t="shared" si="4"/>
        <v>1100000</v>
      </c>
      <c r="BZ5" s="9">
        <f t="shared" ref="BZ5:BZ44" si="18">SUM(BT5:BY5)</f>
        <v>1420586.4550000001</v>
      </c>
      <c r="CA5" s="9">
        <f t="shared" si="5"/>
        <v>0</v>
      </c>
      <c r="CB5" s="7"/>
      <c r="CC5" s="4">
        <v>577259.29</v>
      </c>
      <c r="CD5" s="4"/>
      <c r="CE5" s="4"/>
      <c r="CF5" s="4">
        <f t="shared" ref="CF5:CF10" si="19">+CC5</f>
        <v>577259.29</v>
      </c>
      <c r="CG5" s="4">
        <f t="shared" si="6"/>
        <v>0</v>
      </c>
      <c r="CH5" s="4">
        <v>0</v>
      </c>
      <c r="CI5" s="4"/>
      <c r="CJ5" s="4"/>
      <c r="CK5" s="4"/>
      <c r="CL5" s="4"/>
      <c r="CM5" s="4"/>
      <c r="CN5" s="4">
        <v>0</v>
      </c>
      <c r="CO5" s="4">
        <v>0</v>
      </c>
      <c r="CP5" s="4">
        <v>168096.26500000001</v>
      </c>
      <c r="CQ5" s="4">
        <v>17747.525000000001</v>
      </c>
      <c r="CR5" s="4">
        <v>0</v>
      </c>
      <c r="CS5" s="4">
        <v>0</v>
      </c>
      <c r="CT5" s="4">
        <v>0</v>
      </c>
      <c r="CU5" s="4">
        <v>18491.330000000002</v>
      </c>
      <c r="CV5" s="4">
        <v>0</v>
      </c>
      <c r="CW5" s="4">
        <f>9680+11000</f>
        <v>20680</v>
      </c>
      <c r="CX5" s="4">
        <v>9545.0400000000009</v>
      </c>
      <c r="CY5" s="4">
        <f>18734.4+6506.82</f>
        <v>25241.22</v>
      </c>
      <c r="CZ5" s="4">
        <v>21000</v>
      </c>
      <c r="DA5" s="4">
        <v>0</v>
      </c>
      <c r="DB5" s="4">
        <v>0</v>
      </c>
      <c r="DC5" s="4">
        <v>0</v>
      </c>
      <c r="DD5" s="4">
        <v>5049.07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46000</v>
      </c>
      <c r="DL5" s="4">
        <v>0</v>
      </c>
      <c r="DM5" s="4">
        <v>0</v>
      </c>
      <c r="DN5" s="4">
        <v>0</v>
      </c>
      <c r="DO5" s="4">
        <v>36158.31</v>
      </c>
      <c r="DP5" s="4"/>
      <c r="DQ5" s="4"/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/>
      <c r="DX5" s="4">
        <v>0</v>
      </c>
      <c r="DY5" s="4">
        <v>0</v>
      </c>
      <c r="DZ5" s="4">
        <v>0</v>
      </c>
      <c r="EA5" s="4">
        <v>675.93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8352.9</v>
      </c>
      <c r="EO5" s="4">
        <f t="shared" si="7"/>
        <v>954296.88000000012</v>
      </c>
      <c r="EP5" s="4">
        <v>954306.88</v>
      </c>
      <c r="EQ5" s="4">
        <f t="shared" si="8"/>
        <v>-9.9999999998835847</v>
      </c>
      <c r="ER5" s="4">
        <v>493649.42499999999</v>
      </c>
      <c r="ES5" s="4"/>
      <c r="ET5" s="4"/>
      <c r="EU5" s="7"/>
      <c r="EV5" s="4">
        <f t="shared" ref="EV5:EV44" si="20">SUMPRODUCT($CC$46:$EN$46,$CC5:$EN5)</f>
        <v>0</v>
      </c>
      <c r="EW5" s="4">
        <f t="shared" ref="EW5:EW44" si="21">SUMPRODUCT($CC$47:$EN$47,$CC5:$EN5)</f>
        <v>0</v>
      </c>
      <c r="EX5" s="4">
        <f t="shared" ref="EX5:EX44" si="22">SUMPRODUCT($CC$48:$EN$48,$CC5:$EN5)</f>
        <v>36158.31</v>
      </c>
      <c r="EY5" s="4">
        <f t="shared" ref="EY5:EY44" si="23">SUMPRODUCT($CC$49:$EN$49,$CC5:$EN5)</f>
        <v>623259.29</v>
      </c>
      <c r="EZ5" s="4">
        <f t="shared" ref="EZ5:EZ44" si="24">SUMPRODUCT($CC$50:$EN$50,$CC5:$EN5)</f>
        <v>294879.28000000003</v>
      </c>
      <c r="FA5" s="13">
        <v>0</v>
      </c>
      <c r="FB5" s="13">
        <f t="shared" si="9"/>
        <v>954296.88000000012</v>
      </c>
      <c r="FC5" s="13">
        <f t="shared" si="10"/>
        <v>0</v>
      </c>
      <c r="FD5" s="12"/>
      <c r="FE5" s="13">
        <f t="shared" si="11"/>
        <v>320586.45500000002</v>
      </c>
      <c r="FF5" s="13">
        <f t="shared" si="12"/>
        <v>954296.88000000012</v>
      </c>
      <c r="FG5" s="13">
        <f t="shared" si="13"/>
        <v>-633710.42500000005</v>
      </c>
      <c r="FH5" s="13">
        <f t="shared" si="14"/>
        <v>-597552.11499999999</v>
      </c>
    </row>
    <row r="6" spans="1:164" x14ac:dyDescent="0.35">
      <c r="A6">
        <v>1822</v>
      </c>
      <c r="B6" s="4">
        <v>70604.514999999999</v>
      </c>
      <c r="C6" s="4">
        <v>15200</v>
      </c>
      <c r="D6" s="4">
        <v>73289.73</v>
      </c>
      <c r="E6" s="4">
        <v>121289</v>
      </c>
      <c r="F6" s="4">
        <v>7170</v>
      </c>
      <c r="G6" s="4">
        <v>22670.44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6000.32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31729.119999999999</v>
      </c>
      <c r="T6" s="4">
        <v>35653.224999999999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5297.65</v>
      </c>
      <c r="AA6" s="4">
        <v>1193.9449999999999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16666.669999999998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4667.66</v>
      </c>
      <c r="BM6" s="4">
        <f t="shared" si="0"/>
        <v>411432.27499999997</v>
      </c>
      <c r="BN6" s="4">
        <v>411432.27500000002</v>
      </c>
      <c r="BO6" s="4">
        <f t="shared" si="1"/>
        <v>0</v>
      </c>
      <c r="BP6" s="4">
        <v>493649.42499999999</v>
      </c>
      <c r="BQ6" s="4"/>
      <c r="BR6" s="4"/>
      <c r="BS6" s="7"/>
      <c r="BT6" s="4">
        <f t="shared" si="15"/>
        <v>170536.78</v>
      </c>
      <c r="BU6" s="9">
        <f t="shared" si="16"/>
        <v>128459</v>
      </c>
      <c r="BV6" s="9">
        <f t="shared" si="17"/>
        <v>0</v>
      </c>
      <c r="BW6" s="9">
        <f t="shared" si="2"/>
        <v>112436.495</v>
      </c>
      <c r="BX6" s="9">
        <f t="shared" si="3"/>
        <v>0</v>
      </c>
      <c r="BY6" s="9">
        <f t="shared" si="4"/>
        <v>0</v>
      </c>
      <c r="BZ6" s="9">
        <f t="shared" si="18"/>
        <v>411432.27500000002</v>
      </c>
      <c r="CA6" s="9">
        <f t="shared" si="5"/>
        <v>0</v>
      </c>
      <c r="CB6" s="7"/>
      <c r="CC6" s="4">
        <v>173851.185</v>
      </c>
      <c r="CD6" s="4"/>
      <c r="CE6" s="4"/>
      <c r="CF6" s="4">
        <f t="shared" si="19"/>
        <v>173851.185</v>
      </c>
      <c r="CG6" s="4">
        <f t="shared" si="6"/>
        <v>0</v>
      </c>
      <c r="CH6" s="4">
        <v>0</v>
      </c>
      <c r="CI6" s="4"/>
      <c r="CJ6" s="4"/>
      <c r="CK6" s="4"/>
      <c r="CL6" s="4"/>
      <c r="CM6" s="4"/>
      <c r="CN6" s="4">
        <v>0</v>
      </c>
      <c r="CO6" s="4">
        <v>0</v>
      </c>
      <c r="CP6" s="4">
        <v>166320.13500000001</v>
      </c>
      <c r="CQ6" s="4">
        <v>25837.68</v>
      </c>
      <c r="CR6" s="4">
        <v>0</v>
      </c>
      <c r="CS6" s="4">
        <v>0</v>
      </c>
      <c r="CT6" s="4">
        <v>0</v>
      </c>
      <c r="CU6" s="4">
        <v>20051.169999999998</v>
      </c>
      <c r="CV6" s="4">
        <v>0</v>
      </c>
      <c r="CW6" s="4">
        <v>15951.95</v>
      </c>
      <c r="CX6" s="4">
        <v>2760.87</v>
      </c>
      <c r="CY6" s="4">
        <v>45000</v>
      </c>
      <c r="CZ6" s="4">
        <v>16404.82</v>
      </c>
      <c r="DA6" s="4">
        <v>0</v>
      </c>
      <c r="DB6" s="4">
        <v>0</v>
      </c>
      <c r="DC6" s="4">
        <v>0</v>
      </c>
      <c r="DD6" s="4">
        <v>7180.48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11500</v>
      </c>
      <c r="DL6" s="4">
        <v>0</v>
      </c>
      <c r="DM6" s="4">
        <v>0</v>
      </c>
      <c r="DN6" s="4">
        <v>0</v>
      </c>
      <c r="DO6" s="4">
        <v>80300</v>
      </c>
      <c r="DP6" s="4"/>
      <c r="DQ6" s="4"/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/>
      <c r="DX6" s="4">
        <v>0</v>
      </c>
      <c r="DY6" s="4">
        <v>0</v>
      </c>
      <c r="DZ6" s="4">
        <v>0</v>
      </c>
      <c r="EA6" s="4">
        <v>331.67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5552.8950000000004</v>
      </c>
      <c r="EO6" s="4">
        <f t="shared" si="7"/>
        <v>571042.85499999998</v>
      </c>
      <c r="EP6" s="4">
        <v>571042.86499999999</v>
      </c>
      <c r="EQ6" s="4">
        <f t="shared" si="8"/>
        <v>-1.0000000009313226E-2</v>
      </c>
      <c r="ER6" s="4">
        <v>334088.84000000003</v>
      </c>
      <c r="ES6" s="4"/>
      <c r="ET6" s="4"/>
      <c r="EU6" s="7"/>
      <c r="EV6" s="4">
        <f t="shared" si="20"/>
        <v>0</v>
      </c>
      <c r="EW6" s="4">
        <f t="shared" si="21"/>
        <v>0</v>
      </c>
      <c r="EX6" s="4">
        <f t="shared" si="22"/>
        <v>80300</v>
      </c>
      <c r="EY6" s="4">
        <f t="shared" si="23"/>
        <v>185351.185</v>
      </c>
      <c r="EZ6" s="4">
        <f t="shared" si="24"/>
        <v>305391.67</v>
      </c>
      <c r="FA6" s="13">
        <v>0</v>
      </c>
      <c r="FB6" s="13">
        <f t="shared" si="9"/>
        <v>571042.85499999998</v>
      </c>
      <c r="FC6" s="13">
        <f t="shared" si="10"/>
        <v>0</v>
      </c>
      <c r="FD6" s="12"/>
      <c r="FE6" s="13">
        <f t="shared" si="11"/>
        <v>411432.27500000002</v>
      </c>
      <c r="FF6" s="13">
        <f t="shared" si="12"/>
        <v>571042.85499999998</v>
      </c>
      <c r="FG6" s="13">
        <f t="shared" si="13"/>
        <v>-159610.57999999996</v>
      </c>
      <c r="FH6" s="13">
        <f t="shared" si="14"/>
        <v>-79310.579999999958</v>
      </c>
    </row>
    <row r="7" spans="1:164" x14ac:dyDescent="0.35">
      <c r="A7">
        <v>1823</v>
      </c>
      <c r="B7" s="4">
        <v>47661.404999999999</v>
      </c>
      <c r="C7" s="4">
        <v>15100</v>
      </c>
      <c r="D7" s="4">
        <v>59114.720000000001</v>
      </c>
      <c r="E7" s="4">
        <v>121289</v>
      </c>
      <c r="F7" s="4">
        <v>7595</v>
      </c>
      <c r="G7" s="4">
        <v>20840.240000000002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4105.5600000000004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35722.385000000002</v>
      </c>
      <c r="T7" s="4">
        <v>29165.485000000001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4126.51</v>
      </c>
      <c r="AA7" s="4">
        <v>1652.06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16666.66</v>
      </c>
      <c r="AZ7" s="4">
        <v>100000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5818.9049999999997</v>
      </c>
      <c r="BM7" s="4">
        <f t="shared" si="0"/>
        <v>468857.93</v>
      </c>
      <c r="BN7" s="4">
        <v>468857.93</v>
      </c>
      <c r="BO7" s="4">
        <f t="shared" si="1"/>
        <v>0</v>
      </c>
      <c r="BP7" s="4">
        <v>334088.84000000003</v>
      </c>
      <c r="BQ7" s="4"/>
      <c r="BR7" s="4"/>
      <c r="BS7" s="7"/>
      <c r="BT7" s="4">
        <f t="shared" si="15"/>
        <v>150600.45000000001</v>
      </c>
      <c r="BU7" s="9">
        <f t="shared" si="16"/>
        <v>128884</v>
      </c>
      <c r="BV7" s="9">
        <f t="shared" si="17"/>
        <v>0</v>
      </c>
      <c r="BW7" s="9">
        <f t="shared" si="2"/>
        <v>89373.48</v>
      </c>
      <c r="BX7" s="9">
        <f t="shared" si="3"/>
        <v>0</v>
      </c>
      <c r="BY7" s="9">
        <f t="shared" si="4"/>
        <v>100000</v>
      </c>
      <c r="BZ7" s="9">
        <f t="shared" si="18"/>
        <v>468857.93</v>
      </c>
      <c r="CA7" s="9">
        <f t="shared" si="5"/>
        <v>0</v>
      </c>
      <c r="CB7" s="7"/>
      <c r="CC7" s="4">
        <v>203535.72500000001</v>
      </c>
      <c r="CD7" s="4"/>
      <c r="CE7" s="4"/>
      <c r="CF7" s="4">
        <f t="shared" si="19"/>
        <v>203535.72500000001</v>
      </c>
      <c r="CG7" s="4">
        <f t="shared" si="6"/>
        <v>0</v>
      </c>
      <c r="CH7" s="4">
        <v>0</v>
      </c>
      <c r="CI7" s="4"/>
      <c r="CJ7" s="4"/>
      <c r="CK7" s="4"/>
      <c r="CL7" s="4"/>
      <c r="CM7" s="4"/>
      <c r="CN7" s="4">
        <v>0</v>
      </c>
      <c r="CO7" s="4">
        <v>0</v>
      </c>
      <c r="CP7" s="4">
        <v>174984.9</v>
      </c>
      <c r="CQ7" s="4">
        <v>34277.195</v>
      </c>
      <c r="CR7" s="4">
        <v>0</v>
      </c>
      <c r="CS7" s="4">
        <v>0</v>
      </c>
      <c r="CT7" s="4">
        <v>0</v>
      </c>
      <c r="CU7" s="4">
        <v>21521.064999999999</v>
      </c>
      <c r="CV7" s="4">
        <v>0</v>
      </c>
      <c r="CW7" s="4">
        <v>12157.28</v>
      </c>
      <c r="CX7" s="4">
        <v>2268.665</v>
      </c>
      <c r="CY7" s="4">
        <v>34000</v>
      </c>
      <c r="CZ7" s="4">
        <v>19428.009999999998</v>
      </c>
      <c r="DA7" s="4">
        <v>0</v>
      </c>
      <c r="DB7" s="4">
        <v>0</v>
      </c>
      <c r="DC7" s="4">
        <v>0</v>
      </c>
      <c r="DD7" s="4">
        <v>5946.08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150000</v>
      </c>
      <c r="DO7" s="4">
        <v>77575.789999999994</v>
      </c>
      <c r="DP7" s="4"/>
      <c r="DQ7" s="4"/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/>
      <c r="DX7" s="4">
        <v>0</v>
      </c>
      <c r="DY7" s="4">
        <v>0</v>
      </c>
      <c r="DZ7" s="4">
        <v>0</v>
      </c>
      <c r="EA7" s="4">
        <v>191.93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6222.99</v>
      </c>
      <c r="EO7" s="4">
        <f t="shared" si="7"/>
        <v>742109.63</v>
      </c>
      <c r="EP7" s="4">
        <v>742109.63</v>
      </c>
      <c r="EQ7" s="4">
        <f t="shared" si="8"/>
        <v>0</v>
      </c>
      <c r="ER7" s="4">
        <v>60787.77</v>
      </c>
      <c r="ES7" s="4"/>
      <c r="ET7" s="4"/>
      <c r="EU7" s="7"/>
      <c r="EV7" s="4">
        <f t="shared" si="20"/>
        <v>150000</v>
      </c>
      <c r="EW7" s="4">
        <f t="shared" si="21"/>
        <v>0</v>
      </c>
      <c r="EX7" s="4">
        <f t="shared" si="22"/>
        <v>77575.789999999994</v>
      </c>
      <c r="EY7" s="4">
        <f t="shared" si="23"/>
        <v>203535.72500000001</v>
      </c>
      <c r="EZ7" s="4">
        <f t="shared" si="24"/>
        <v>310998.11499999999</v>
      </c>
      <c r="FA7" s="13">
        <v>0</v>
      </c>
      <c r="FB7" s="13">
        <f t="shared" si="9"/>
        <v>742109.63</v>
      </c>
      <c r="FC7" s="13">
        <f t="shared" si="10"/>
        <v>0</v>
      </c>
      <c r="FD7" s="12"/>
      <c r="FE7" s="13">
        <f t="shared" si="11"/>
        <v>368857.93</v>
      </c>
      <c r="FF7" s="13">
        <f t="shared" si="12"/>
        <v>592109.63</v>
      </c>
      <c r="FG7" s="13">
        <f t="shared" si="13"/>
        <v>-223251.7</v>
      </c>
      <c r="FH7" s="13">
        <f t="shared" si="14"/>
        <v>-145675.91000000003</v>
      </c>
    </row>
    <row r="8" spans="1:164" x14ac:dyDescent="0.35">
      <c r="A8">
        <v>1824</v>
      </c>
      <c r="B8" s="4">
        <v>44080.06</v>
      </c>
      <c r="C8" s="4">
        <v>14200</v>
      </c>
      <c r="D8" s="4">
        <v>58204.644999999997</v>
      </c>
      <c r="E8" s="4">
        <v>122997</v>
      </c>
      <c r="F8" s="4">
        <v>12827.5</v>
      </c>
      <c r="G8" s="4">
        <v>24711.7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8887.7325000000001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30885.325000000001</v>
      </c>
      <c r="T8" s="4">
        <v>18490.125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2280.09</v>
      </c>
      <c r="AA8" s="4">
        <v>2464.7600000000002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8">
        <v>75510.27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16666.669999999998</v>
      </c>
      <c r="AZ8" s="4">
        <v>210000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8461.74</v>
      </c>
      <c r="BM8" s="4">
        <f t="shared" si="0"/>
        <v>650667.61749999993</v>
      </c>
      <c r="BN8" s="4">
        <v>650667.61750000005</v>
      </c>
      <c r="BO8" s="4">
        <f t="shared" si="1"/>
        <v>0</v>
      </c>
      <c r="BP8" s="4">
        <v>60787.137499999997</v>
      </c>
      <c r="BQ8" s="4"/>
      <c r="BR8" s="4"/>
      <c r="BS8" s="7"/>
      <c r="BT8" s="4">
        <f t="shared" si="15"/>
        <v>143644.28750000001</v>
      </c>
      <c r="BU8" s="9">
        <f t="shared" si="16"/>
        <v>135824.5</v>
      </c>
      <c r="BV8" s="9">
        <f t="shared" si="17"/>
        <v>0</v>
      </c>
      <c r="BW8" s="9">
        <f t="shared" si="2"/>
        <v>85688.56</v>
      </c>
      <c r="BX8" s="9">
        <f t="shared" si="3"/>
        <v>75510.27</v>
      </c>
      <c r="BY8" s="9">
        <f t="shared" si="4"/>
        <v>210000</v>
      </c>
      <c r="BZ8" s="9">
        <f t="shared" si="18"/>
        <v>650667.61749999993</v>
      </c>
      <c r="CA8" s="9">
        <f t="shared" si="5"/>
        <v>0</v>
      </c>
      <c r="CB8" s="7"/>
      <c r="CC8" s="4">
        <v>80875.600000000006</v>
      </c>
      <c r="CD8" s="4"/>
      <c r="CE8" s="4"/>
      <c r="CF8" s="4">
        <f t="shared" si="19"/>
        <v>80875.600000000006</v>
      </c>
      <c r="CG8" s="4">
        <f t="shared" si="6"/>
        <v>0</v>
      </c>
      <c r="CH8" s="4">
        <v>0</v>
      </c>
      <c r="CI8" s="4"/>
      <c r="CJ8" s="4"/>
      <c r="CK8" s="4"/>
      <c r="CL8" s="4"/>
      <c r="CM8" s="4"/>
      <c r="CN8" s="4">
        <v>0</v>
      </c>
      <c r="CO8" s="4">
        <v>0</v>
      </c>
      <c r="CP8" s="4">
        <v>171685.41</v>
      </c>
      <c r="CQ8" s="4">
        <v>30289.26</v>
      </c>
      <c r="CR8" s="4">
        <v>0</v>
      </c>
      <c r="CS8" s="4">
        <v>0</v>
      </c>
      <c r="CT8" s="4">
        <v>0</v>
      </c>
      <c r="CU8" s="4">
        <v>22754.85</v>
      </c>
      <c r="CV8" s="4">
        <v>0</v>
      </c>
      <c r="CW8" s="4">
        <v>12000</v>
      </c>
      <c r="CX8" s="4">
        <v>1122.24</v>
      </c>
      <c r="CY8" s="4">
        <v>60000</v>
      </c>
      <c r="CZ8" s="4">
        <v>18320.310000000001</v>
      </c>
      <c r="DA8" s="4">
        <v>0</v>
      </c>
      <c r="DB8" s="4">
        <v>0</v>
      </c>
      <c r="DC8" s="4">
        <v>0</v>
      </c>
      <c r="DD8" s="4">
        <v>4188.6049999999996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200000</v>
      </c>
      <c r="DO8" s="4">
        <v>77888.88</v>
      </c>
      <c r="DP8" s="4"/>
      <c r="DQ8" s="4"/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/>
      <c r="DX8" s="4">
        <v>0</v>
      </c>
      <c r="DY8" s="4">
        <v>0</v>
      </c>
      <c r="DZ8" s="4">
        <v>0</v>
      </c>
      <c r="EA8" s="4">
        <v>260.77999999999997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5485.9250000000002</v>
      </c>
      <c r="EO8" s="4">
        <f t="shared" si="7"/>
        <v>684871.86</v>
      </c>
      <c r="EP8" s="4">
        <v>684871.85750000004</v>
      </c>
      <c r="EQ8" s="4">
        <f t="shared" si="8"/>
        <v>2.4999999441206455E-3</v>
      </c>
      <c r="ER8" s="4">
        <v>26582.895</v>
      </c>
      <c r="ES8" s="4"/>
      <c r="ET8" s="4"/>
      <c r="EU8" s="7"/>
      <c r="EV8" s="4">
        <f t="shared" si="20"/>
        <v>200000</v>
      </c>
      <c r="EW8" s="4">
        <f t="shared" si="21"/>
        <v>0</v>
      </c>
      <c r="EX8" s="4">
        <f t="shared" si="22"/>
        <v>77888.88</v>
      </c>
      <c r="EY8" s="4">
        <f t="shared" si="23"/>
        <v>80875.600000000006</v>
      </c>
      <c r="EZ8" s="4">
        <f t="shared" si="24"/>
        <v>326107.38</v>
      </c>
      <c r="FA8" s="13">
        <v>0</v>
      </c>
      <c r="FB8" s="13">
        <f t="shared" si="9"/>
        <v>684871.86</v>
      </c>
      <c r="FC8" s="13">
        <f t="shared" si="10"/>
        <v>0</v>
      </c>
      <c r="FD8" s="12"/>
      <c r="FE8" s="13">
        <f t="shared" si="11"/>
        <v>440667.61749999999</v>
      </c>
      <c r="FF8" s="13">
        <f t="shared" si="12"/>
        <v>484871.86</v>
      </c>
      <c r="FG8" s="13">
        <f t="shared" si="13"/>
        <v>-44204.242499999993</v>
      </c>
      <c r="FH8" s="13">
        <f t="shared" si="14"/>
        <v>33684.637500000012</v>
      </c>
    </row>
    <row r="9" spans="1:164" x14ac:dyDescent="0.35">
      <c r="A9">
        <v>1825</v>
      </c>
      <c r="B9" s="4">
        <v>28484.15</v>
      </c>
      <c r="C9" s="4">
        <v>19100</v>
      </c>
      <c r="D9" s="4">
        <v>75870.67</v>
      </c>
      <c r="E9" s="4">
        <v>121716</v>
      </c>
      <c r="F9" s="4">
        <v>12165</v>
      </c>
      <c r="G9" s="4">
        <v>22059.5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8450.4650000000001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42573.440000000002</v>
      </c>
      <c r="T9" s="4">
        <v>51154.445</v>
      </c>
      <c r="U9" s="4">
        <v>0</v>
      </c>
      <c r="V9" s="4">
        <v>0</v>
      </c>
      <c r="W9" s="4">
        <v>30</v>
      </c>
      <c r="X9" s="4">
        <v>0</v>
      </c>
      <c r="Y9" s="4">
        <v>0</v>
      </c>
      <c r="Z9" s="4">
        <v>4153.7950000000001</v>
      </c>
      <c r="AA9" s="4">
        <v>1308.27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6610.56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144014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6100.0024999999996</v>
      </c>
      <c r="BM9" s="4">
        <f t="shared" si="0"/>
        <v>543790.29749999999</v>
      </c>
      <c r="BN9" s="4">
        <v>543790.30000000005</v>
      </c>
      <c r="BO9" s="4">
        <f t="shared" si="1"/>
        <v>-2.5000000605359674E-3</v>
      </c>
      <c r="BP9" s="4">
        <v>26582.895</v>
      </c>
      <c r="BQ9" s="4"/>
      <c r="BR9" s="4"/>
      <c r="BS9" s="7"/>
      <c r="BT9" s="4">
        <f t="shared" si="15"/>
        <v>201416.79</v>
      </c>
      <c r="BU9" s="9">
        <f t="shared" si="16"/>
        <v>133881</v>
      </c>
      <c r="BV9" s="9">
        <f t="shared" si="17"/>
        <v>0</v>
      </c>
      <c r="BW9" s="9">
        <f t="shared" si="2"/>
        <v>57867.947500000002</v>
      </c>
      <c r="BX9" s="9">
        <f t="shared" si="3"/>
        <v>6610.56</v>
      </c>
      <c r="BY9" s="9">
        <f t="shared" si="4"/>
        <v>144014</v>
      </c>
      <c r="BZ9" s="9">
        <f t="shared" si="18"/>
        <v>543790.2975000001</v>
      </c>
      <c r="CA9" s="9">
        <f t="shared" si="5"/>
        <v>0</v>
      </c>
      <c r="CB9" s="7"/>
      <c r="CC9" s="4">
        <v>68560.52</v>
      </c>
      <c r="CD9" s="4"/>
      <c r="CE9" s="4"/>
      <c r="CF9" s="4">
        <f t="shared" si="19"/>
        <v>68560.52</v>
      </c>
      <c r="CG9" s="4">
        <f t="shared" si="6"/>
        <v>0</v>
      </c>
      <c r="CH9" s="4">
        <v>0</v>
      </c>
      <c r="CI9" s="4"/>
      <c r="CJ9" s="4"/>
      <c r="CK9" s="4"/>
      <c r="CL9" s="4"/>
      <c r="CM9" s="4"/>
      <c r="CN9" s="4">
        <v>0</v>
      </c>
      <c r="CO9" s="4">
        <v>0</v>
      </c>
      <c r="CP9" s="4">
        <v>179368.07750000001</v>
      </c>
      <c r="CQ9" s="4">
        <v>23449.044999999998</v>
      </c>
      <c r="CR9" s="4">
        <v>0</v>
      </c>
      <c r="CS9" s="4">
        <v>0</v>
      </c>
      <c r="CT9" s="4">
        <v>0</v>
      </c>
      <c r="CU9" s="4">
        <v>24727.81</v>
      </c>
      <c r="CV9" s="4">
        <v>0</v>
      </c>
      <c r="CW9" s="4">
        <v>18582.650000000001</v>
      </c>
      <c r="CX9" s="4">
        <v>0</v>
      </c>
      <c r="CY9" s="4">
        <v>80000</v>
      </c>
      <c r="CZ9" s="4">
        <v>23599.264999999999</v>
      </c>
      <c r="DA9" s="4">
        <v>0</v>
      </c>
      <c r="DB9" s="4">
        <v>0</v>
      </c>
      <c r="DC9" s="4">
        <v>0</v>
      </c>
      <c r="DD9" s="4">
        <v>2429.08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75259</v>
      </c>
      <c r="DP9" s="4"/>
      <c r="DQ9" s="4"/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/>
      <c r="DX9" s="4">
        <v>0</v>
      </c>
      <c r="DY9" s="4">
        <v>0</v>
      </c>
      <c r="DZ9" s="4">
        <v>0</v>
      </c>
      <c r="EA9" s="4">
        <v>468.44499999999999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6436.1549999999997</v>
      </c>
      <c r="EO9" s="4">
        <f t="shared" si="7"/>
        <v>502880.0475000001</v>
      </c>
      <c r="EP9" s="4">
        <v>502880.05249999999</v>
      </c>
      <c r="EQ9" s="4">
        <f t="shared" si="8"/>
        <v>-4.999999888241291E-3</v>
      </c>
      <c r="ER9" s="4">
        <v>67493.14</v>
      </c>
      <c r="ES9" s="4"/>
      <c r="ET9" s="4"/>
      <c r="EU9" s="7"/>
      <c r="EV9" s="4">
        <f t="shared" si="20"/>
        <v>0</v>
      </c>
      <c r="EW9" s="4">
        <f t="shared" si="21"/>
        <v>0</v>
      </c>
      <c r="EX9" s="4">
        <f t="shared" si="22"/>
        <v>75259</v>
      </c>
      <c r="EY9" s="4">
        <f t="shared" si="23"/>
        <v>68560.52</v>
      </c>
      <c r="EZ9" s="4">
        <f t="shared" si="24"/>
        <v>359060.52750000008</v>
      </c>
      <c r="FA9" s="13">
        <v>0</v>
      </c>
      <c r="FB9" s="13">
        <f t="shared" si="9"/>
        <v>502880.0475000001</v>
      </c>
      <c r="FC9" s="13">
        <f t="shared" si="10"/>
        <v>0</v>
      </c>
      <c r="FD9" s="12"/>
      <c r="FE9" s="13">
        <f t="shared" si="11"/>
        <v>399776.29750000004</v>
      </c>
      <c r="FF9" s="13">
        <f t="shared" si="12"/>
        <v>502880.0475000001</v>
      </c>
      <c r="FG9" s="13">
        <f t="shared" si="13"/>
        <v>-103103.75000000006</v>
      </c>
      <c r="FH9" s="13">
        <f t="shared" si="14"/>
        <v>-27844.750000000058</v>
      </c>
    </row>
    <row r="10" spans="1:164" x14ac:dyDescent="0.35">
      <c r="A10">
        <v>1826</v>
      </c>
      <c r="B10" s="4">
        <v>43590.495000000003</v>
      </c>
      <c r="C10" s="4">
        <v>20700</v>
      </c>
      <c r="D10" s="4">
        <v>108820.06</v>
      </c>
      <c r="E10" s="4">
        <v>121289</v>
      </c>
      <c r="F10" s="4">
        <v>10865</v>
      </c>
      <c r="G10" s="4">
        <v>23272.080000000002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10790.4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34566.214999999997</v>
      </c>
      <c r="T10" s="4">
        <v>41545.875</v>
      </c>
      <c r="U10" s="4">
        <v>0</v>
      </c>
      <c r="V10" s="4">
        <v>636.89</v>
      </c>
      <c r="W10" s="4">
        <v>0</v>
      </c>
      <c r="X10" s="4">
        <v>0</v>
      </c>
      <c r="Y10" s="4">
        <v>0</v>
      </c>
      <c r="Z10" s="4">
        <f>4634.88+485.62</f>
        <v>5120.5</v>
      </c>
      <c r="AA10" s="4">
        <v>1188.32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8">
        <v>249875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5358.2550000000001</v>
      </c>
      <c r="BM10" s="4">
        <f t="shared" si="0"/>
        <v>677618.09</v>
      </c>
      <c r="BN10" s="4">
        <v>677618.1</v>
      </c>
      <c r="BO10" s="4">
        <f t="shared" si="1"/>
        <v>-1.0000000009313226E-2</v>
      </c>
      <c r="BP10" s="4">
        <v>67493.14</v>
      </c>
      <c r="BQ10" s="4"/>
      <c r="BR10" s="4"/>
      <c r="BS10" s="7"/>
      <c r="BT10" s="4">
        <f t="shared" si="15"/>
        <v>220819.84000000003</v>
      </c>
      <c r="BU10" s="9">
        <f t="shared" si="16"/>
        <v>132154</v>
      </c>
      <c r="BV10" s="9">
        <f t="shared" si="17"/>
        <v>0</v>
      </c>
      <c r="BW10" s="9">
        <f t="shared" si="2"/>
        <v>74769.25</v>
      </c>
      <c r="BX10" s="9">
        <f t="shared" si="3"/>
        <v>0</v>
      </c>
      <c r="BY10" s="9">
        <f t="shared" si="4"/>
        <v>249875</v>
      </c>
      <c r="BZ10" s="9">
        <f t="shared" si="18"/>
        <v>677618.09000000008</v>
      </c>
      <c r="CA10" s="9">
        <f t="shared" si="5"/>
        <v>0</v>
      </c>
      <c r="CB10" s="7"/>
      <c r="CC10" s="4">
        <v>182104.905</v>
      </c>
      <c r="CD10" s="4"/>
      <c r="CE10" s="4"/>
      <c r="CF10" s="4">
        <f t="shared" si="19"/>
        <v>182104.905</v>
      </c>
      <c r="CG10" s="4">
        <f t="shared" si="6"/>
        <v>0</v>
      </c>
      <c r="CH10" s="4">
        <v>0</v>
      </c>
      <c r="CI10" s="4"/>
      <c r="CJ10" s="4"/>
      <c r="CK10" s="4"/>
      <c r="CL10" s="4"/>
      <c r="CM10" s="4"/>
      <c r="CN10" s="4">
        <v>0</v>
      </c>
      <c r="CO10" s="4">
        <v>0</v>
      </c>
      <c r="CP10" s="4">
        <v>182347.43</v>
      </c>
      <c r="CQ10" s="4">
        <v>23238.05</v>
      </c>
      <c r="CR10" s="4">
        <v>0</v>
      </c>
      <c r="CS10" s="4">
        <v>0</v>
      </c>
      <c r="CT10" s="4">
        <v>0</v>
      </c>
      <c r="CU10" s="4">
        <v>26048.63</v>
      </c>
      <c r="CV10" s="4">
        <v>0</v>
      </c>
      <c r="CW10" s="4">
        <v>11958.77</v>
      </c>
      <c r="CX10" s="4">
        <v>4051.375</v>
      </c>
      <c r="CY10" s="4">
        <v>50000</v>
      </c>
      <c r="CZ10" s="4">
        <v>15064.37</v>
      </c>
      <c r="DA10" s="4">
        <v>0</v>
      </c>
      <c r="DB10" s="4">
        <v>0</v>
      </c>
      <c r="DC10" s="4">
        <v>0</v>
      </c>
      <c r="DD10" s="4">
        <v>1330.7750000000001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9103.6</v>
      </c>
      <c r="DK10" s="4">
        <v>0</v>
      </c>
      <c r="DL10" s="4">
        <v>0</v>
      </c>
      <c r="DM10" s="4">
        <v>0</v>
      </c>
      <c r="DN10" s="4">
        <v>0</v>
      </c>
      <c r="DO10" s="4">
        <v>82541.66</v>
      </c>
      <c r="DP10" s="4"/>
      <c r="DQ10" s="4"/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/>
      <c r="DX10" s="4">
        <v>0</v>
      </c>
      <c r="DY10" s="4">
        <v>0</v>
      </c>
      <c r="DZ10" s="4">
        <v>0</v>
      </c>
      <c r="EA10" s="4">
        <v>249.8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2049.8150000000001</v>
      </c>
      <c r="EO10" s="4">
        <f t="shared" si="7"/>
        <v>590089.18000000005</v>
      </c>
      <c r="EP10" s="4">
        <v>590089.18000000005</v>
      </c>
      <c r="EQ10" s="4">
        <f t="shared" si="8"/>
        <v>0</v>
      </c>
      <c r="ER10" s="4">
        <v>155022.05499999999</v>
      </c>
      <c r="ES10" s="4"/>
      <c r="ET10" s="4"/>
      <c r="EU10" s="7"/>
      <c r="EV10" s="4">
        <f t="shared" si="20"/>
        <v>0</v>
      </c>
      <c r="EW10" s="4">
        <f t="shared" si="21"/>
        <v>0</v>
      </c>
      <c r="EX10" s="4">
        <f t="shared" si="22"/>
        <v>82541.66</v>
      </c>
      <c r="EY10" s="4">
        <f t="shared" si="23"/>
        <v>191208.505</v>
      </c>
      <c r="EZ10" s="4">
        <f t="shared" si="24"/>
        <v>316339.01500000001</v>
      </c>
      <c r="FA10" s="13">
        <v>0</v>
      </c>
      <c r="FB10" s="13">
        <f t="shared" si="9"/>
        <v>590089.18000000005</v>
      </c>
      <c r="FC10" s="13">
        <f t="shared" si="10"/>
        <v>0</v>
      </c>
      <c r="FD10" s="12"/>
      <c r="FE10" s="13">
        <f t="shared" si="11"/>
        <v>427743.09</v>
      </c>
      <c r="FF10" s="13">
        <f t="shared" si="12"/>
        <v>590089.18000000005</v>
      </c>
      <c r="FG10" s="13">
        <f t="shared" si="13"/>
        <v>-162346.09000000003</v>
      </c>
      <c r="FH10" s="13">
        <f t="shared" si="14"/>
        <v>-79804.429999999993</v>
      </c>
    </row>
    <row r="11" spans="1:164" x14ac:dyDescent="0.35">
      <c r="A11">
        <v>1827</v>
      </c>
      <c r="B11" s="4">
        <v>73867.7</v>
      </c>
      <c r="C11" s="4">
        <v>20900</v>
      </c>
      <c r="D11" s="4">
        <v>142928.84</v>
      </c>
      <c r="E11" s="4">
        <v>76289</v>
      </c>
      <c r="F11" s="4">
        <v>15940</v>
      </c>
      <c r="G11" s="4">
        <v>23466.34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8453.9699999999993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39218.15</v>
      </c>
      <c r="T11" s="4">
        <v>39493.074999999997</v>
      </c>
      <c r="U11" s="4">
        <v>0</v>
      </c>
      <c r="V11" s="4">
        <v>0</v>
      </c>
      <c r="W11" s="4">
        <v>4981.7049999999999</v>
      </c>
      <c r="X11" s="4">
        <v>1790.39</v>
      </c>
      <c r="Y11" s="4">
        <v>0</v>
      </c>
      <c r="Z11" s="4">
        <v>1516.2</v>
      </c>
      <c r="AA11" s="4">
        <v>2413.6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2040.355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17577.599999999999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1110250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7630.2</v>
      </c>
      <c r="BM11" s="4">
        <f t="shared" si="0"/>
        <v>1588757.125</v>
      </c>
      <c r="BN11" s="4">
        <v>1588757.125</v>
      </c>
      <c r="BO11" s="9">
        <f t="shared" si="1"/>
        <v>0</v>
      </c>
      <c r="BP11" s="4">
        <v>155022.05499999999</v>
      </c>
      <c r="BQ11" s="4"/>
      <c r="BR11" s="4"/>
      <c r="BS11" s="7"/>
      <c r="BT11" s="4">
        <f t="shared" si="15"/>
        <v>258014.33000000002</v>
      </c>
      <c r="BU11" s="9">
        <f t="shared" si="16"/>
        <v>92229</v>
      </c>
      <c r="BV11" s="9">
        <f t="shared" si="17"/>
        <v>0</v>
      </c>
      <c r="BW11" s="9">
        <f t="shared" si="2"/>
        <v>110686.19499999999</v>
      </c>
      <c r="BX11" s="9">
        <f t="shared" si="3"/>
        <v>17577.599999999999</v>
      </c>
      <c r="BY11" s="9">
        <f t="shared" si="4"/>
        <v>1110250</v>
      </c>
      <c r="BZ11" s="9">
        <f t="shared" si="18"/>
        <v>1588757.125</v>
      </c>
      <c r="CA11" s="9">
        <f t="shared" si="5"/>
        <v>0</v>
      </c>
      <c r="CB11" s="7"/>
      <c r="CC11" s="4">
        <v>1083735.9750000001</v>
      </c>
      <c r="CD11" s="4"/>
      <c r="CE11" s="4"/>
      <c r="CF11" s="4">
        <f>+CC11-CE11</f>
        <v>1083735.9750000001</v>
      </c>
      <c r="CG11" s="4">
        <f>+CC11-CD11-CE11-CF11</f>
        <v>0</v>
      </c>
      <c r="CH11" s="4">
        <v>47764.754999999997</v>
      </c>
      <c r="CI11" s="4"/>
      <c r="CJ11" s="4">
        <v>38026.410000000003</v>
      </c>
      <c r="CK11" s="4"/>
      <c r="CL11" s="4"/>
      <c r="CM11" s="4">
        <f>+CH11-CI11-CJ11-CK11-CL11</f>
        <v>9738.3449999999939</v>
      </c>
      <c r="CN11" s="4">
        <v>0</v>
      </c>
      <c r="CO11" s="4">
        <v>0</v>
      </c>
      <c r="CP11" s="4">
        <v>202127.24</v>
      </c>
      <c r="CQ11" s="4">
        <v>26666.755000000001</v>
      </c>
      <c r="CR11" s="4">
        <v>0</v>
      </c>
      <c r="CS11" s="4">
        <v>0</v>
      </c>
      <c r="CT11" s="4">
        <v>0</v>
      </c>
      <c r="CU11" s="4">
        <v>24330.682499999999</v>
      </c>
      <c r="CV11" s="4">
        <v>0</v>
      </c>
      <c r="CW11" s="4">
        <v>20946.02</v>
      </c>
      <c r="CX11" s="4">
        <v>9132.02</v>
      </c>
      <c r="CY11" s="4">
        <v>39124.089999999997</v>
      </c>
      <c r="CZ11" s="4">
        <v>15716.56</v>
      </c>
      <c r="DA11" s="4">
        <v>5000</v>
      </c>
      <c r="DB11" s="4">
        <v>0</v>
      </c>
      <c r="DC11" s="4">
        <v>0</v>
      </c>
      <c r="DD11" s="9">
        <v>296.65499999999997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2811.4549999999999</v>
      </c>
      <c r="DK11" s="4">
        <v>0</v>
      </c>
      <c r="DL11" s="4">
        <v>0</v>
      </c>
      <c r="DM11" s="4">
        <v>0</v>
      </c>
      <c r="DN11" s="4">
        <v>0</v>
      </c>
      <c r="DO11" s="4">
        <v>89438.97</v>
      </c>
      <c r="DP11" s="4"/>
      <c r="DQ11" s="4"/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/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3238.46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5551.665</v>
      </c>
      <c r="EO11" s="4">
        <f>CC11 + CH11 +SUM(CN11:EN11)</f>
        <v>1575881.3025</v>
      </c>
      <c r="EP11" s="4">
        <v>1575881.3025</v>
      </c>
      <c r="EQ11" s="9">
        <f t="shared" si="8"/>
        <v>0</v>
      </c>
      <c r="ER11" s="4">
        <v>167897.8775</v>
      </c>
      <c r="ES11" s="4"/>
      <c r="ET11" s="4"/>
      <c r="EU11" s="7"/>
      <c r="EV11" s="4">
        <f t="shared" si="20"/>
        <v>3238.46</v>
      </c>
      <c r="EW11" s="4">
        <f t="shared" si="21"/>
        <v>0</v>
      </c>
      <c r="EX11" s="4">
        <f t="shared" si="22"/>
        <v>127465.38</v>
      </c>
      <c r="EY11" s="4">
        <f t="shared" si="23"/>
        <v>1096285.7750000001</v>
      </c>
      <c r="EZ11" s="4">
        <f t="shared" si="24"/>
        <v>348891.6875</v>
      </c>
      <c r="FA11" s="13">
        <v>0</v>
      </c>
      <c r="FB11" s="13">
        <f t="shared" si="9"/>
        <v>1575881.3025000002</v>
      </c>
      <c r="FC11" s="13">
        <f t="shared" si="10"/>
        <v>0</v>
      </c>
      <c r="FD11" s="12"/>
      <c r="FE11" s="13">
        <f t="shared" si="11"/>
        <v>478507.125</v>
      </c>
      <c r="FF11" s="13">
        <f t="shared" si="12"/>
        <v>1572642.8425000003</v>
      </c>
      <c r="FG11" s="13">
        <f t="shared" si="13"/>
        <v>-1094135.7175000003</v>
      </c>
      <c r="FH11" s="13">
        <f t="shared" si="14"/>
        <v>-966670.33750000037</v>
      </c>
    </row>
    <row r="12" spans="1:164" x14ac:dyDescent="0.35">
      <c r="A12">
        <v>1828</v>
      </c>
      <c r="B12" s="4">
        <v>95609.44</v>
      </c>
      <c r="C12" s="4">
        <v>18050</v>
      </c>
      <c r="D12" s="4">
        <v>144839.59</v>
      </c>
      <c r="E12" s="4">
        <v>118672.5</v>
      </c>
      <c r="F12" s="4">
        <v>17965</v>
      </c>
      <c r="G12" s="4">
        <v>29649.51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8541.35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46311.852500000001</v>
      </c>
      <c r="T12" s="4">
        <v>52108.03</v>
      </c>
      <c r="U12" s="4">
        <v>0</v>
      </c>
      <c r="V12" s="4">
        <v>0</v>
      </c>
      <c r="W12" s="4">
        <v>2597.85</v>
      </c>
      <c r="X12" s="4">
        <v>5993.41</v>
      </c>
      <c r="Y12" s="4">
        <v>100.685</v>
      </c>
      <c r="Z12" s="4">
        <v>890.7</v>
      </c>
      <c r="AA12" s="4">
        <v>1400.54</v>
      </c>
      <c r="AB12" s="4">
        <v>0</v>
      </c>
      <c r="AC12" s="4">
        <v>0</v>
      </c>
      <c r="AD12" s="4">
        <v>450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208.88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f>2432100-9500</f>
        <v>2422600</v>
      </c>
      <c r="BA12" s="4">
        <v>9500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150000</v>
      </c>
      <c r="BI12" s="4">
        <v>0</v>
      </c>
      <c r="BJ12" s="4">
        <v>0</v>
      </c>
      <c r="BK12" s="4">
        <v>0</v>
      </c>
      <c r="BL12" s="4">
        <v>3980.75</v>
      </c>
      <c r="BM12" s="4">
        <f t="shared" si="0"/>
        <v>3129470.0874999999</v>
      </c>
      <c r="BN12" s="4">
        <v>3129470.09</v>
      </c>
      <c r="BO12" s="4">
        <f t="shared" si="1"/>
        <v>-2.4999999441206455E-3</v>
      </c>
      <c r="BP12" s="4">
        <v>167897.875</v>
      </c>
      <c r="BQ12" s="4"/>
      <c r="BR12" s="4"/>
      <c r="BS12" s="7"/>
      <c r="BT12" s="4">
        <f t="shared" si="15"/>
        <v>283509.7525</v>
      </c>
      <c r="BU12" s="9">
        <f t="shared" si="16"/>
        <v>136637.5</v>
      </c>
      <c r="BV12" s="9">
        <f t="shared" si="17"/>
        <v>0</v>
      </c>
      <c r="BW12" s="9">
        <f t="shared" si="2"/>
        <v>277222.83500000002</v>
      </c>
      <c r="BX12" s="9">
        <f t="shared" si="3"/>
        <v>0</v>
      </c>
      <c r="BY12" s="9">
        <f t="shared" si="4"/>
        <v>2432100</v>
      </c>
      <c r="BZ12" s="9">
        <f t="shared" si="18"/>
        <v>3129470.0874999999</v>
      </c>
      <c r="CA12" s="9">
        <f t="shared" si="5"/>
        <v>0</v>
      </c>
      <c r="CB12" s="7"/>
      <c r="CC12" s="4">
        <v>2611967.2400000002</v>
      </c>
      <c r="CD12" s="4">
        <v>0</v>
      </c>
      <c r="CE12" s="18">
        <f>136909.1-26744.19</f>
        <v>110164.91</v>
      </c>
      <c r="CF12" s="4">
        <f t="shared" ref="CF12:CF18" si="25">+CC12-CE12</f>
        <v>2501802.33</v>
      </c>
      <c r="CG12" s="4">
        <f t="shared" ref="CG12:CG44" si="26">+CC12-CD12-CE12-CF12</f>
        <v>0</v>
      </c>
      <c r="CH12" s="4">
        <v>98579.97</v>
      </c>
      <c r="CI12" s="4"/>
      <c r="CJ12" s="4"/>
      <c r="CK12" s="4"/>
      <c r="CL12" s="4"/>
      <c r="CM12" s="4">
        <f t="shared" ref="CM12:CM28" si="27">+CH12-CI12-CJ12-CK12-CL12</f>
        <v>98579.97</v>
      </c>
      <c r="CN12" s="4">
        <v>0</v>
      </c>
      <c r="CO12" s="4">
        <v>0</v>
      </c>
      <c r="CP12" s="4">
        <v>204757.965</v>
      </c>
      <c r="CQ12" s="4">
        <v>24542.799999999999</v>
      </c>
      <c r="CR12" s="4">
        <v>0</v>
      </c>
      <c r="CS12" s="4">
        <v>0</v>
      </c>
      <c r="CT12" s="4">
        <v>0</v>
      </c>
      <c r="CU12" s="4">
        <v>26295.22</v>
      </c>
      <c r="CV12" s="4">
        <v>0</v>
      </c>
      <c r="CW12" s="4">
        <v>26259.279999999999</v>
      </c>
      <c r="CX12" s="4">
        <v>304.38</v>
      </c>
      <c r="CY12" s="4">
        <v>4000</v>
      </c>
      <c r="CZ12" s="4">
        <v>4364.6549999999997</v>
      </c>
      <c r="DA12" s="4">
        <v>2500</v>
      </c>
      <c r="DB12" s="4">
        <v>0</v>
      </c>
      <c r="DC12" s="4">
        <v>0</v>
      </c>
      <c r="DD12" s="4">
        <v>672.19</v>
      </c>
      <c r="DE12" s="4">
        <v>933.88</v>
      </c>
      <c r="DF12" s="4">
        <v>0</v>
      </c>
      <c r="DG12" s="4">
        <v>0</v>
      </c>
      <c r="DH12" s="4">
        <v>0</v>
      </c>
      <c r="DI12" s="4">
        <v>0</v>
      </c>
      <c r="DJ12" s="4">
        <v>2363.38</v>
      </c>
      <c r="DK12" s="4">
        <v>0</v>
      </c>
      <c r="DL12" s="4">
        <v>0</v>
      </c>
      <c r="DM12" s="4">
        <v>0</v>
      </c>
      <c r="DN12" s="4">
        <v>0</v>
      </c>
      <c r="DO12" s="4">
        <v>91725</v>
      </c>
      <c r="DP12" s="4"/>
      <c r="DQ12" s="4"/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/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8286.5499999999993</v>
      </c>
      <c r="EO12" s="4">
        <f t="shared" ref="EO12:EO44" si="28">CC12 + CH12 +SUM(CN12:EN12)</f>
        <v>3107552.5100000007</v>
      </c>
      <c r="EP12" s="4">
        <v>3107552.51</v>
      </c>
      <c r="EQ12" s="4">
        <f t="shared" si="8"/>
        <v>0</v>
      </c>
      <c r="ER12" s="4">
        <v>189815.465</v>
      </c>
      <c r="ES12" s="4"/>
      <c r="ET12" s="4"/>
      <c r="EU12" s="7"/>
      <c r="EV12" s="4">
        <f t="shared" si="20"/>
        <v>0</v>
      </c>
      <c r="EW12" s="4">
        <f t="shared" si="21"/>
        <v>0</v>
      </c>
      <c r="EX12" s="4">
        <f t="shared" si="22"/>
        <v>201889.91</v>
      </c>
      <c r="EY12" s="4">
        <f t="shared" si="23"/>
        <v>2602745.6800000002</v>
      </c>
      <c r="EZ12" s="4">
        <f t="shared" si="24"/>
        <v>302916.92000000004</v>
      </c>
      <c r="FA12" s="13">
        <v>0</v>
      </c>
      <c r="FB12" s="13">
        <f t="shared" si="9"/>
        <v>3107552.5100000002</v>
      </c>
      <c r="FC12" s="13">
        <f t="shared" si="10"/>
        <v>0</v>
      </c>
      <c r="FD12" s="12"/>
      <c r="FE12" s="13">
        <f t="shared" si="11"/>
        <v>697370.08750000002</v>
      </c>
      <c r="FF12" s="13">
        <f t="shared" si="12"/>
        <v>3107552.5100000002</v>
      </c>
      <c r="FG12" s="13">
        <f t="shared" si="13"/>
        <v>-2410182.4225000003</v>
      </c>
      <c r="FH12" s="13">
        <f t="shared" si="14"/>
        <v>-2208292.5125000002</v>
      </c>
    </row>
    <row r="13" spans="1:164" x14ac:dyDescent="0.35">
      <c r="A13">
        <v>1829</v>
      </c>
      <c r="B13" s="4">
        <v>97290.79</v>
      </c>
      <c r="C13" s="4">
        <v>19000</v>
      </c>
      <c r="D13" s="4">
        <v>140518.75</v>
      </c>
      <c r="E13" s="4">
        <v>121289</v>
      </c>
      <c r="F13" s="4">
        <v>19640</v>
      </c>
      <c r="G13" s="4">
        <v>53184.07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9245.33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50031.67</v>
      </c>
      <c r="T13" s="4">
        <v>62607.92</v>
      </c>
      <c r="U13" s="4">
        <v>0</v>
      </c>
      <c r="V13" s="4">
        <v>0</v>
      </c>
      <c r="W13" s="4">
        <v>691.36</v>
      </c>
      <c r="X13" s="4">
        <v>10742.195</v>
      </c>
      <c r="Y13" s="4">
        <v>55.46</v>
      </c>
      <c r="Z13" s="4">
        <v>3000.71</v>
      </c>
      <c r="AA13" s="4">
        <v>1779.23</v>
      </c>
      <c r="AB13" s="4">
        <v>0</v>
      </c>
      <c r="AC13" s="4">
        <v>0</v>
      </c>
      <c r="AD13" s="4">
        <v>210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74.239999999999995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2811238.92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200000</v>
      </c>
      <c r="BI13" s="4">
        <v>0</v>
      </c>
      <c r="BJ13" s="4">
        <v>0</v>
      </c>
      <c r="BK13" s="4">
        <v>0</v>
      </c>
      <c r="BL13" s="4">
        <v>9738.3799999999992</v>
      </c>
      <c r="BM13" s="4">
        <f t="shared" si="0"/>
        <v>3610338.0249999994</v>
      </c>
      <c r="BN13" s="4">
        <v>3610338.0249999999</v>
      </c>
      <c r="BO13" s="4">
        <f t="shared" si="1"/>
        <v>0</v>
      </c>
      <c r="BP13" s="4">
        <v>189815.465</v>
      </c>
      <c r="BQ13" s="4"/>
      <c r="BR13" s="4"/>
      <c r="BS13" s="7"/>
      <c r="BT13" s="4">
        <f t="shared" si="15"/>
        <v>317651.20999999996</v>
      </c>
      <c r="BU13" s="9">
        <f t="shared" si="16"/>
        <v>140929</v>
      </c>
      <c r="BV13" s="9">
        <f t="shared" si="17"/>
        <v>0</v>
      </c>
      <c r="BW13" s="9">
        <f t="shared" si="2"/>
        <v>340518.89500000002</v>
      </c>
      <c r="BX13" s="9">
        <f t="shared" si="3"/>
        <v>0</v>
      </c>
      <c r="BY13" s="9">
        <f t="shared" si="4"/>
        <v>2811238.92</v>
      </c>
      <c r="BZ13" s="9">
        <f t="shared" si="18"/>
        <v>3610338.0249999999</v>
      </c>
      <c r="CA13" s="9">
        <f t="shared" si="5"/>
        <v>0</v>
      </c>
      <c r="CB13" s="7"/>
      <c r="CC13" s="4">
        <v>3049894.01</v>
      </c>
      <c r="CD13" s="4">
        <v>0</v>
      </c>
      <c r="CE13" s="18">
        <f>3507.6+3396.51+100533.85</f>
        <v>107437.96</v>
      </c>
      <c r="CF13" s="4">
        <f t="shared" si="25"/>
        <v>2942456.05</v>
      </c>
      <c r="CG13" s="4">
        <f t="shared" si="26"/>
        <v>0</v>
      </c>
      <c r="CH13" s="4">
        <v>168787.18</v>
      </c>
      <c r="CI13" s="4"/>
      <c r="CJ13" s="4"/>
      <c r="CK13" s="4"/>
      <c r="CL13" s="4"/>
      <c r="CM13" s="4">
        <f t="shared" si="27"/>
        <v>168787.18</v>
      </c>
      <c r="CN13" s="4">
        <v>0</v>
      </c>
      <c r="CO13" s="4">
        <v>0</v>
      </c>
      <c r="CP13" s="4">
        <v>218393.85</v>
      </c>
      <c r="CQ13" s="4">
        <v>17738.22</v>
      </c>
      <c r="CR13" s="4">
        <v>0</v>
      </c>
      <c r="CS13" s="4">
        <v>0</v>
      </c>
      <c r="CT13" s="4">
        <v>0</v>
      </c>
      <c r="CU13" s="4">
        <v>27800.32</v>
      </c>
      <c r="CV13" s="4">
        <v>0</v>
      </c>
      <c r="CW13" s="4">
        <v>16702.48</v>
      </c>
      <c r="CX13" s="4">
        <v>978.92</v>
      </c>
      <c r="CY13" s="4">
        <v>6000</v>
      </c>
      <c r="CZ13" s="4">
        <v>5466.25</v>
      </c>
      <c r="DA13" s="4">
        <v>2500</v>
      </c>
      <c r="DB13" s="4">
        <v>0</v>
      </c>
      <c r="DC13" s="4">
        <v>0</v>
      </c>
      <c r="DD13" s="4">
        <v>411.27</v>
      </c>
      <c r="DE13" s="4">
        <v>287.58</v>
      </c>
      <c r="DF13" s="4">
        <v>0</v>
      </c>
      <c r="DG13" s="4">
        <v>0</v>
      </c>
      <c r="DH13" s="4">
        <v>0</v>
      </c>
      <c r="DI13" s="4">
        <v>0</v>
      </c>
      <c r="DJ13" s="4">
        <v>542.27</v>
      </c>
      <c r="DK13" s="4">
        <v>0</v>
      </c>
      <c r="DL13" s="4">
        <v>0</v>
      </c>
      <c r="DM13" s="4">
        <v>0</v>
      </c>
      <c r="DN13" s="4">
        <v>0</v>
      </c>
      <c r="DO13" s="4">
        <v>91725</v>
      </c>
      <c r="DP13" s="4"/>
      <c r="DQ13" s="4"/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/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17550.16</v>
      </c>
      <c r="EO13" s="4">
        <f t="shared" si="28"/>
        <v>3624777.51</v>
      </c>
      <c r="EP13" s="4">
        <v>3624777.51</v>
      </c>
      <c r="EQ13" s="4">
        <f t="shared" si="8"/>
        <v>0</v>
      </c>
      <c r="ER13" s="4">
        <v>175375.98</v>
      </c>
      <c r="ES13" s="4"/>
      <c r="ET13" s="4"/>
      <c r="EU13" s="7"/>
      <c r="EV13" s="4">
        <f t="shared" si="20"/>
        <v>0</v>
      </c>
      <c r="EW13" s="4">
        <f t="shared" si="21"/>
        <v>0</v>
      </c>
      <c r="EX13" s="4">
        <f t="shared" si="22"/>
        <v>199162.96000000002</v>
      </c>
      <c r="EY13" s="4">
        <f t="shared" si="23"/>
        <v>3111785.5</v>
      </c>
      <c r="EZ13" s="4">
        <f t="shared" si="24"/>
        <v>313829.05</v>
      </c>
      <c r="FA13" s="13">
        <v>0</v>
      </c>
      <c r="FB13" s="13">
        <f t="shared" si="9"/>
        <v>3624777.51</v>
      </c>
      <c r="FC13" s="13">
        <f t="shared" si="10"/>
        <v>0</v>
      </c>
      <c r="FD13" s="12"/>
      <c r="FE13" s="13">
        <f t="shared" si="11"/>
        <v>799099.10499999998</v>
      </c>
      <c r="FF13" s="13">
        <f t="shared" si="12"/>
        <v>3624777.51</v>
      </c>
      <c r="FG13" s="13">
        <f t="shared" si="13"/>
        <v>-2825678.4049999998</v>
      </c>
      <c r="FH13" s="13">
        <f t="shared" si="14"/>
        <v>-2626515.4449999998</v>
      </c>
    </row>
    <row r="14" spans="1:164" x14ac:dyDescent="0.35">
      <c r="A14">
        <v>1830</v>
      </c>
      <c r="B14" s="4">
        <v>120078.16</v>
      </c>
      <c r="C14" s="4">
        <v>19500</v>
      </c>
      <c r="D14" s="4">
        <v>132247.19</v>
      </c>
      <c r="E14" s="4">
        <v>121716</v>
      </c>
      <c r="F14" s="4">
        <v>29715</v>
      </c>
      <c r="G14" s="4">
        <v>20112.830000000002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9928.56</v>
      </c>
      <c r="N14" s="4">
        <v>2979.32</v>
      </c>
      <c r="O14" s="4">
        <v>0</v>
      </c>
      <c r="P14" s="4">
        <v>0</v>
      </c>
      <c r="Q14" s="4">
        <v>0</v>
      </c>
      <c r="R14" s="4">
        <v>0</v>
      </c>
      <c r="S14" s="4">
        <v>44275.62</v>
      </c>
      <c r="T14" s="4">
        <v>51582.13</v>
      </c>
      <c r="U14" s="4">
        <v>0</v>
      </c>
      <c r="V14" s="4">
        <v>0</v>
      </c>
      <c r="W14" s="4">
        <v>632.55999999999995</v>
      </c>
      <c r="X14" s="4">
        <v>18686.689999999999</v>
      </c>
      <c r="Y14" s="4">
        <v>68.45</v>
      </c>
      <c r="Z14" s="4">
        <v>7847.13</v>
      </c>
      <c r="AA14" s="4">
        <v>2265.89</v>
      </c>
      <c r="AB14" s="4">
        <v>0</v>
      </c>
      <c r="AC14" s="4">
        <v>0</v>
      </c>
      <c r="AD14" s="4">
        <v>469.5</v>
      </c>
      <c r="AE14" s="4">
        <v>246.3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1171.93</v>
      </c>
      <c r="AM14" s="4">
        <v>25748.38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5487034.46</v>
      </c>
      <c r="BA14" s="4">
        <v>220000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15142.91</v>
      </c>
      <c r="BM14" s="4">
        <f t="shared" si="0"/>
        <v>6331449.0099999998</v>
      </c>
      <c r="BN14" s="4">
        <v>6331449.0099999998</v>
      </c>
      <c r="BO14" s="4">
        <f t="shared" si="1"/>
        <v>0</v>
      </c>
      <c r="BP14" s="4">
        <v>175375.98</v>
      </c>
      <c r="BQ14" s="4"/>
      <c r="BR14" s="4"/>
      <c r="BS14" s="7"/>
      <c r="BT14" s="4">
        <f t="shared" si="15"/>
        <v>265279.27</v>
      </c>
      <c r="BU14" s="9">
        <f t="shared" si="16"/>
        <v>151431</v>
      </c>
      <c r="BV14" s="9">
        <f t="shared" si="17"/>
        <v>25748.38</v>
      </c>
      <c r="BW14" s="9">
        <f t="shared" si="2"/>
        <v>181955.90000000002</v>
      </c>
      <c r="BX14" s="9">
        <f t="shared" si="3"/>
        <v>0</v>
      </c>
      <c r="BY14" s="9">
        <f t="shared" si="4"/>
        <v>5707034.46</v>
      </c>
      <c r="BZ14" s="9">
        <f t="shared" si="18"/>
        <v>6331449.0099999998</v>
      </c>
      <c r="CA14" s="9">
        <f t="shared" si="5"/>
        <v>0</v>
      </c>
      <c r="CB14" s="7"/>
      <c r="CC14" s="4">
        <v>5495550.2599999998</v>
      </c>
      <c r="CD14" s="4">
        <v>0</v>
      </c>
      <c r="CE14" s="13"/>
      <c r="CF14" s="4">
        <f t="shared" si="25"/>
        <v>5495550.2599999998</v>
      </c>
      <c r="CG14" s="4">
        <f t="shared" si="26"/>
        <v>0</v>
      </c>
      <c r="CH14" s="4">
        <v>474997.75</v>
      </c>
      <c r="CI14" s="4"/>
      <c r="CJ14" s="4">
        <v>631954.89</v>
      </c>
      <c r="CK14" s="4"/>
      <c r="CL14" s="4">
        <v>9879.5400000000009</v>
      </c>
      <c r="CM14" s="4">
        <f t="shared" si="27"/>
        <v>-166836.68000000002</v>
      </c>
      <c r="CN14" s="4">
        <v>0</v>
      </c>
      <c r="CO14" s="4">
        <v>0</v>
      </c>
      <c r="CP14" s="4">
        <v>210501.05</v>
      </c>
      <c r="CQ14" s="4">
        <v>20513.560000000001</v>
      </c>
      <c r="CR14" s="4">
        <v>0</v>
      </c>
      <c r="CS14" s="4">
        <v>1576.68</v>
      </c>
      <c r="CT14" s="4">
        <v>0</v>
      </c>
      <c r="CU14" s="4">
        <v>24501.45</v>
      </c>
      <c r="CV14" s="4">
        <v>0</v>
      </c>
      <c r="CW14" s="4">
        <v>13827.73</v>
      </c>
      <c r="CX14" s="4">
        <v>696.18</v>
      </c>
      <c r="CY14" s="4">
        <v>7784.5</v>
      </c>
      <c r="CZ14" s="4">
        <v>6995.08</v>
      </c>
      <c r="DA14" s="4">
        <v>0</v>
      </c>
      <c r="DB14" s="4">
        <v>0</v>
      </c>
      <c r="DC14" s="4">
        <v>0</v>
      </c>
      <c r="DD14" s="4">
        <v>1159.1099999999999</v>
      </c>
      <c r="DE14" s="4">
        <v>517.95000000000005</v>
      </c>
      <c r="DF14" s="4">
        <v>0</v>
      </c>
      <c r="DG14" s="4">
        <v>0</v>
      </c>
      <c r="DH14" s="4">
        <v>0</v>
      </c>
      <c r="DI14" s="4">
        <v>0</v>
      </c>
      <c r="DJ14" s="4">
        <v>395</v>
      </c>
      <c r="DK14" s="4">
        <v>0</v>
      </c>
      <c r="DL14" s="4">
        <v>0</v>
      </c>
      <c r="DM14" s="4">
        <v>0</v>
      </c>
      <c r="DN14" s="4">
        <v>0</v>
      </c>
      <c r="DO14" s="4">
        <v>91625</v>
      </c>
      <c r="DP14" s="4"/>
      <c r="DQ14" s="4"/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/>
      <c r="DX14" s="4">
        <v>0</v>
      </c>
      <c r="DY14" s="4">
        <v>0</v>
      </c>
      <c r="DZ14" s="4">
        <v>10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6743.2</v>
      </c>
      <c r="EO14" s="4">
        <f t="shared" si="28"/>
        <v>6357394.5</v>
      </c>
      <c r="EP14" s="4">
        <v>6357394.5</v>
      </c>
      <c r="EQ14" s="4">
        <f t="shared" si="8"/>
        <v>0</v>
      </c>
      <c r="ER14" s="4">
        <v>149430.79</v>
      </c>
      <c r="ES14" s="4"/>
      <c r="ET14" s="4"/>
      <c r="EU14" s="7"/>
      <c r="EV14" s="4">
        <f t="shared" si="20"/>
        <v>0</v>
      </c>
      <c r="EW14" s="4">
        <f t="shared" si="21"/>
        <v>0</v>
      </c>
      <c r="EX14" s="4">
        <f t="shared" si="22"/>
        <v>723579.89</v>
      </c>
      <c r="EY14" s="4">
        <f t="shared" si="23"/>
        <v>5338988.12</v>
      </c>
      <c r="EZ14" s="4">
        <f t="shared" si="24"/>
        <v>294826.49</v>
      </c>
      <c r="FA14" s="13">
        <v>0</v>
      </c>
      <c r="FB14" s="13">
        <f t="shared" si="9"/>
        <v>6357394.5</v>
      </c>
      <c r="FC14" s="13">
        <f t="shared" si="10"/>
        <v>0</v>
      </c>
      <c r="FD14" s="12"/>
      <c r="FE14" s="13">
        <f t="shared" si="11"/>
        <v>624414.55000000005</v>
      </c>
      <c r="FF14" s="13">
        <f t="shared" si="12"/>
        <v>6357394.5</v>
      </c>
      <c r="FG14" s="13">
        <f t="shared" si="13"/>
        <v>-5732979.9500000002</v>
      </c>
      <c r="FH14" s="13">
        <f t="shared" si="14"/>
        <v>-5009400.0600000005</v>
      </c>
    </row>
    <row r="15" spans="1:164" x14ac:dyDescent="0.35">
      <c r="A15">
        <v>1831</v>
      </c>
      <c r="B15" s="4">
        <v>103329.18</v>
      </c>
      <c r="C15" s="4">
        <v>12100</v>
      </c>
      <c r="D15" s="4">
        <v>126504.85</v>
      </c>
      <c r="E15" s="4">
        <v>106498.5</v>
      </c>
      <c r="F15" s="4">
        <v>34398.120000000003</v>
      </c>
      <c r="G15" s="4">
        <v>30572.98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7464.53</v>
      </c>
      <c r="N15" s="4">
        <v>18979.89</v>
      </c>
      <c r="O15" s="4">
        <v>0</v>
      </c>
      <c r="P15" s="4">
        <v>0</v>
      </c>
      <c r="Q15" s="4">
        <v>0</v>
      </c>
      <c r="R15" s="4">
        <v>0</v>
      </c>
      <c r="S15" s="4">
        <v>40146.94</v>
      </c>
      <c r="T15" s="4">
        <v>51445.38</v>
      </c>
      <c r="U15" s="4">
        <v>0</v>
      </c>
      <c r="V15" s="4">
        <v>0</v>
      </c>
      <c r="W15" s="4">
        <v>446.26</v>
      </c>
      <c r="X15" s="4">
        <v>19062.810000000001</v>
      </c>
      <c r="Y15" s="4">
        <v>81.88</v>
      </c>
      <c r="Z15" s="4">
        <v>1381.41</v>
      </c>
      <c r="AA15" s="4">
        <v>448.6</v>
      </c>
      <c r="AB15" s="4">
        <v>0</v>
      </c>
      <c r="AC15" s="4">
        <v>0</v>
      </c>
      <c r="AD15" s="4">
        <v>2029.33</v>
      </c>
      <c r="AE15" s="4">
        <v>1593.6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20</v>
      </c>
      <c r="AM15" s="4">
        <v>38241.199999999997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2199948.54</v>
      </c>
      <c r="BA15" s="4">
        <v>103196.91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125000</v>
      </c>
      <c r="BI15" s="4">
        <v>0</v>
      </c>
      <c r="BJ15" s="4">
        <v>0</v>
      </c>
      <c r="BK15" s="4">
        <v>0</v>
      </c>
      <c r="BL15" s="4">
        <v>11087.66</v>
      </c>
      <c r="BM15" s="4">
        <f t="shared" si="0"/>
        <v>3033978.5700000003</v>
      </c>
      <c r="BN15" s="4">
        <v>3033978.57</v>
      </c>
      <c r="BO15" s="4">
        <f t="shared" si="1"/>
        <v>0</v>
      </c>
      <c r="BP15" s="4">
        <v>149430.79</v>
      </c>
      <c r="BQ15" s="4"/>
      <c r="BR15" s="4"/>
      <c r="BS15" s="7"/>
      <c r="BT15" s="4">
        <f t="shared" si="15"/>
        <v>279206.09999999998</v>
      </c>
      <c r="BU15" s="9">
        <f t="shared" si="16"/>
        <v>140896.62</v>
      </c>
      <c r="BV15" s="9">
        <f t="shared" si="17"/>
        <v>38241.199999999997</v>
      </c>
      <c r="BW15" s="9">
        <f t="shared" si="2"/>
        <v>272489.2</v>
      </c>
      <c r="BX15" s="9">
        <f t="shared" si="3"/>
        <v>0</v>
      </c>
      <c r="BY15" s="9">
        <f t="shared" si="4"/>
        <v>2303145.4500000002</v>
      </c>
      <c r="BZ15" s="9">
        <f t="shared" si="18"/>
        <v>3033978.5700000003</v>
      </c>
      <c r="CA15" s="9">
        <f t="shared" si="5"/>
        <v>0</v>
      </c>
      <c r="CB15" s="7"/>
      <c r="CC15" s="4">
        <v>2335373.7200000002</v>
      </c>
      <c r="CD15" s="4">
        <v>0</v>
      </c>
      <c r="CE15" s="13">
        <f>26276.1+257185+275103</f>
        <v>558564.1</v>
      </c>
      <c r="CF15" s="4">
        <f t="shared" si="25"/>
        <v>1776809.62</v>
      </c>
      <c r="CG15" s="4">
        <f t="shared" si="26"/>
        <v>0</v>
      </c>
      <c r="CH15" s="4">
        <v>362682.4</v>
      </c>
      <c r="CI15" s="4"/>
      <c r="CJ15" s="4">
        <v>278661.24</v>
      </c>
      <c r="CK15" s="4"/>
      <c r="CL15" s="4">
        <v>5730.87</v>
      </c>
      <c r="CM15" s="4">
        <f t="shared" si="27"/>
        <v>78290.290000000037</v>
      </c>
      <c r="CN15" s="4">
        <v>0</v>
      </c>
      <c r="CO15" s="4">
        <v>0</v>
      </c>
      <c r="CP15" s="4">
        <v>195306.91</v>
      </c>
      <c r="CQ15" s="4">
        <v>20515.72</v>
      </c>
      <c r="CR15" s="4">
        <v>0</v>
      </c>
      <c r="CS15" s="4">
        <v>2343.2800000000002</v>
      </c>
      <c r="CT15" s="4">
        <v>0</v>
      </c>
      <c r="CU15" s="4">
        <v>22226.84</v>
      </c>
      <c r="CV15" s="4">
        <v>0</v>
      </c>
      <c r="CW15" s="4">
        <v>11185.13</v>
      </c>
      <c r="CX15" s="4">
        <v>56.55</v>
      </c>
      <c r="CY15" s="4">
        <v>3746.53</v>
      </c>
      <c r="CZ15" s="4">
        <v>2624.25</v>
      </c>
      <c r="DA15" s="4">
        <v>0</v>
      </c>
      <c r="DB15" s="4">
        <v>0</v>
      </c>
      <c r="DC15" s="4">
        <v>0</v>
      </c>
      <c r="DD15" s="4">
        <v>1177.96</v>
      </c>
      <c r="DE15" s="4">
        <v>596.05999999999995</v>
      </c>
      <c r="DF15" s="4">
        <v>0</v>
      </c>
      <c r="DG15" s="4">
        <v>0</v>
      </c>
      <c r="DH15" s="4">
        <v>0</v>
      </c>
      <c r="DI15" s="4">
        <v>0</v>
      </c>
      <c r="DJ15" s="4">
        <v>329.75</v>
      </c>
      <c r="DK15" s="4">
        <v>0</v>
      </c>
      <c r="DL15" s="4">
        <v>0</v>
      </c>
      <c r="DM15" s="4">
        <v>0</v>
      </c>
      <c r="DN15" s="4">
        <v>0</v>
      </c>
      <c r="DO15" s="4">
        <v>91525</v>
      </c>
      <c r="DP15" s="4"/>
      <c r="DQ15" s="4"/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/>
      <c r="DX15" s="4">
        <v>0</v>
      </c>
      <c r="DY15" s="4">
        <v>0</v>
      </c>
      <c r="DZ15" s="4">
        <v>107.5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9128.94</v>
      </c>
      <c r="EO15" s="4">
        <f t="shared" si="28"/>
        <v>3058926.54</v>
      </c>
      <c r="EP15" s="4">
        <v>3058926.54</v>
      </c>
      <c r="EQ15" s="4">
        <f t="shared" si="8"/>
        <v>0</v>
      </c>
      <c r="ER15" s="4">
        <v>124482.82</v>
      </c>
      <c r="ES15" s="4"/>
      <c r="ET15" s="4"/>
      <c r="EU15" s="7"/>
      <c r="EV15" s="4">
        <f t="shared" si="20"/>
        <v>0</v>
      </c>
      <c r="EW15" s="4">
        <f t="shared" si="21"/>
        <v>0</v>
      </c>
      <c r="EX15" s="4">
        <f t="shared" si="22"/>
        <v>928750.34</v>
      </c>
      <c r="EY15" s="4">
        <f t="shared" si="23"/>
        <v>1861160.5300000003</v>
      </c>
      <c r="EZ15" s="4">
        <f t="shared" si="24"/>
        <v>269015.67</v>
      </c>
      <c r="FA15" s="13">
        <v>0</v>
      </c>
      <c r="FB15" s="13">
        <f t="shared" si="9"/>
        <v>3058926.54</v>
      </c>
      <c r="FC15" s="13">
        <f t="shared" si="10"/>
        <v>0</v>
      </c>
      <c r="FD15" s="12"/>
      <c r="FE15" s="13">
        <f t="shared" si="11"/>
        <v>730833.12</v>
      </c>
      <c r="FF15" s="13">
        <f t="shared" si="12"/>
        <v>3058926.54</v>
      </c>
      <c r="FG15" s="13">
        <f t="shared" si="13"/>
        <v>-2328093.42</v>
      </c>
      <c r="FH15" s="13">
        <f t="shared" si="14"/>
        <v>-1399343.08</v>
      </c>
    </row>
    <row r="16" spans="1:164" x14ac:dyDescent="0.35">
      <c r="A16">
        <v>1832</v>
      </c>
      <c r="B16" s="4">
        <v>63622.16</v>
      </c>
      <c r="C16" s="4">
        <v>16000</v>
      </c>
      <c r="D16" s="4">
        <v>113537.09</v>
      </c>
      <c r="E16" s="4">
        <v>173230</v>
      </c>
      <c r="F16" s="4">
        <v>21170</v>
      </c>
      <c r="G16" s="4">
        <v>43761.41</v>
      </c>
      <c r="H16" s="4">
        <v>73986.929999999993</v>
      </c>
      <c r="I16" s="4">
        <v>0</v>
      </c>
      <c r="J16" s="4">
        <v>0</v>
      </c>
      <c r="K16" s="4">
        <v>0</v>
      </c>
      <c r="L16" s="4">
        <v>11326.27</v>
      </c>
      <c r="M16" s="4">
        <v>12174.2</v>
      </c>
      <c r="N16" s="4">
        <v>19778.37</v>
      </c>
      <c r="O16" s="4">
        <v>0</v>
      </c>
      <c r="P16" s="4">
        <v>0</v>
      </c>
      <c r="Q16" s="4">
        <v>0</v>
      </c>
      <c r="R16" s="4">
        <v>0</v>
      </c>
      <c r="S16" s="4">
        <v>58795.67</v>
      </c>
      <c r="T16" s="4">
        <v>69783.48</v>
      </c>
      <c r="U16" s="4">
        <v>0</v>
      </c>
      <c r="V16" s="4">
        <v>0</v>
      </c>
      <c r="W16" s="4">
        <v>228.25</v>
      </c>
      <c r="X16" s="4">
        <v>12494.29</v>
      </c>
      <c r="Y16" s="4">
        <v>88.28</v>
      </c>
      <c r="Z16" s="4">
        <f>1463.27+850</f>
        <v>2313.27</v>
      </c>
      <c r="AA16" s="4">
        <v>537.53</v>
      </c>
      <c r="AB16" s="4">
        <v>0</v>
      </c>
      <c r="AC16" s="4">
        <v>0</v>
      </c>
      <c r="AD16" s="4">
        <v>1878.76</v>
      </c>
      <c r="AE16" s="4">
        <v>3191.69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2132.4299999999998</v>
      </c>
      <c r="AM16" s="4">
        <v>50909.57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3188213.34</v>
      </c>
      <c r="BA16" s="4">
        <v>355462.8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300000</v>
      </c>
      <c r="BL16" s="4">
        <v>273.43</v>
      </c>
      <c r="BM16" s="4">
        <f t="shared" si="0"/>
        <v>4594889.22</v>
      </c>
      <c r="BN16" s="4">
        <v>4594889.22</v>
      </c>
      <c r="BO16" s="4">
        <f t="shared" si="1"/>
        <v>0</v>
      </c>
      <c r="BP16" s="4">
        <v>124482.82</v>
      </c>
      <c r="BQ16" s="4"/>
      <c r="BR16" s="4"/>
      <c r="BS16" s="7"/>
      <c r="BT16" s="4">
        <f t="shared" si="15"/>
        <v>410883.83</v>
      </c>
      <c r="BU16" s="9">
        <f t="shared" si="16"/>
        <v>194400</v>
      </c>
      <c r="BV16" s="9">
        <f t="shared" si="17"/>
        <v>50909.57</v>
      </c>
      <c r="BW16" s="9">
        <f t="shared" si="2"/>
        <v>395019.68</v>
      </c>
      <c r="BX16" s="9">
        <f t="shared" si="3"/>
        <v>0</v>
      </c>
      <c r="BY16" s="9">
        <f t="shared" si="4"/>
        <v>3543676.1399999997</v>
      </c>
      <c r="BZ16" s="9">
        <f t="shared" si="18"/>
        <v>4594889.22</v>
      </c>
      <c r="CA16" s="9">
        <f t="shared" si="5"/>
        <v>0</v>
      </c>
      <c r="CB16" s="7"/>
      <c r="CC16" s="4">
        <v>3521754.05</v>
      </c>
      <c r="CD16" s="4">
        <v>0</v>
      </c>
      <c r="CE16" s="13">
        <f>48316.18+135897.16</f>
        <v>184213.34</v>
      </c>
      <c r="CF16" s="4">
        <f t="shared" si="25"/>
        <v>3337540.71</v>
      </c>
      <c r="CG16" s="4">
        <f t="shared" si="26"/>
        <v>0</v>
      </c>
      <c r="CH16" s="4">
        <v>682379.64</v>
      </c>
      <c r="CI16" s="4"/>
      <c r="CJ16" s="4">
        <v>668746.61</v>
      </c>
      <c r="CK16" s="4"/>
      <c r="CL16" s="4">
        <v>5225.24</v>
      </c>
      <c r="CM16" s="4">
        <f t="shared" si="27"/>
        <v>8407.7900000000282</v>
      </c>
      <c r="CN16" s="4">
        <v>0</v>
      </c>
      <c r="CO16" s="4">
        <v>0</v>
      </c>
      <c r="CP16" s="4">
        <v>228803.75</v>
      </c>
      <c r="CQ16" s="4">
        <v>20074.66</v>
      </c>
      <c r="CR16" s="4">
        <v>0</v>
      </c>
      <c r="CS16" s="4">
        <v>1487.77</v>
      </c>
      <c r="CT16" s="4">
        <v>0</v>
      </c>
      <c r="CU16" s="4">
        <v>24888.2</v>
      </c>
      <c r="CV16" s="4">
        <v>0</v>
      </c>
      <c r="CW16" s="4">
        <v>10970.98</v>
      </c>
      <c r="CX16" s="4">
        <v>0</v>
      </c>
      <c r="CY16" s="4">
        <v>4045.43</v>
      </c>
      <c r="CZ16" s="4">
        <v>3115.44</v>
      </c>
      <c r="DA16" s="4">
        <v>0</v>
      </c>
      <c r="DB16" s="4">
        <v>0</v>
      </c>
      <c r="DC16" s="4">
        <v>0</v>
      </c>
      <c r="DD16" s="4">
        <v>1144.05</v>
      </c>
      <c r="DE16" s="4">
        <v>1188.77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91925</v>
      </c>
      <c r="DP16" s="4"/>
      <c r="DQ16" s="4"/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/>
      <c r="DX16" s="4">
        <v>0</v>
      </c>
      <c r="DY16" s="4">
        <v>0</v>
      </c>
      <c r="DZ16" s="4">
        <v>143.84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10283.299999999999</v>
      </c>
      <c r="EO16" s="4">
        <f t="shared" si="28"/>
        <v>4602204.88</v>
      </c>
      <c r="EP16" s="4">
        <v>4602204.88</v>
      </c>
      <c r="EQ16" s="4">
        <f t="shared" si="8"/>
        <v>0</v>
      </c>
      <c r="ER16" s="4">
        <v>117167.16</v>
      </c>
      <c r="ES16" s="4"/>
      <c r="ET16" s="4"/>
      <c r="EU16" s="7"/>
      <c r="EV16" s="4">
        <f t="shared" si="20"/>
        <v>0</v>
      </c>
      <c r="EW16" s="4">
        <f t="shared" si="21"/>
        <v>0</v>
      </c>
      <c r="EX16" s="4">
        <f t="shared" si="22"/>
        <v>944884.95</v>
      </c>
      <c r="EY16" s="4">
        <f t="shared" si="23"/>
        <v>3351173.74</v>
      </c>
      <c r="EZ16" s="4">
        <f t="shared" si="24"/>
        <v>306146.19</v>
      </c>
      <c r="FA16" s="13">
        <v>0</v>
      </c>
      <c r="FB16" s="13">
        <f t="shared" si="9"/>
        <v>4602204.8800000008</v>
      </c>
      <c r="FC16" s="13">
        <f t="shared" si="10"/>
        <v>0</v>
      </c>
      <c r="FD16" s="12"/>
      <c r="FE16" s="13">
        <f t="shared" si="11"/>
        <v>1051213.08</v>
      </c>
      <c r="FF16" s="13">
        <f t="shared" si="12"/>
        <v>4602204.8800000008</v>
      </c>
      <c r="FG16" s="13">
        <f t="shared" si="13"/>
        <v>-3550991.8000000007</v>
      </c>
      <c r="FH16" s="13">
        <f t="shared" si="14"/>
        <v>-2606106.8500000006</v>
      </c>
    </row>
    <row r="17" spans="1:164" x14ac:dyDescent="0.35">
      <c r="A17">
        <v>1833</v>
      </c>
      <c r="B17" s="4">
        <v>48379.64</v>
      </c>
      <c r="C17" s="4">
        <v>15700</v>
      </c>
      <c r="D17" s="4">
        <v>79038.080000000002</v>
      </c>
      <c r="E17" s="4">
        <v>143230</v>
      </c>
      <c r="F17" s="4">
        <v>28535.200000000001</v>
      </c>
      <c r="G17" s="4">
        <v>45404.91</v>
      </c>
      <c r="H17" s="4">
        <v>185177.32</v>
      </c>
      <c r="I17" s="4">
        <v>0</v>
      </c>
      <c r="J17" s="4">
        <v>0</v>
      </c>
      <c r="K17" s="4">
        <v>0</v>
      </c>
      <c r="L17" s="4">
        <v>43685.37</v>
      </c>
      <c r="M17" s="4">
        <v>14399.51</v>
      </c>
      <c r="N17" s="4">
        <v>24771</v>
      </c>
      <c r="O17" s="4">
        <v>0</v>
      </c>
      <c r="P17" s="4">
        <v>0</v>
      </c>
      <c r="Q17" s="4">
        <v>0</v>
      </c>
      <c r="R17" s="4">
        <v>0</v>
      </c>
      <c r="S17" s="4">
        <v>52267.16</v>
      </c>
      <c r="T17" s="4">
        <v>61480.86</v>
      </c>
      <c r="U17" s="4">
        <v>0</v>
      </c>
      <c r="V17" s="4">
        <v>0</v>
      </c>
      <c r="W17" s="4">
        <v>131.30000000000001</v>
      </c>
      <c r="X17" s="4">
        <v>160626.26</v>
      </c>
      <c r="Y17" s="4">
        <v>96.26</v>
      </c>
      <c r="Z17" s="4">
        <v>1693</v>
      </c>
      <c r="AA17" s="4">
        <v>728.33</v>
      </c>
      <c r="AB17" s="4">
        <v>0</v>
      </c>
      <c r="AC17" s="4">
        <v>0</v>
      </c>
      <c r="AD17" s="4">
        <v>2461.9299999999998</v>
      </c>
      <c r="AE17" s="4">
        <v>3025.45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1742.99</v>
      </c>
      <c r="AM17" s="4">
        <v>151419.69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102297.9</v>
      </c>
      <c r="AY17" s="4">
        <v>0</v>
      </c>
      <c r="AZ17" s="4">
        <v>2539987</v>
      </c>
      <c r="BA17" s="4">
        <v>335651.72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5119.74</v>
      </c>
      <c r="BM17" s="4">
        <f t="shared" si="0"/>
        <v>4047050.62</v>
      </c>
      <c r="BN17" s="4">
        <v>4047050.62</v>
      </c>
      <c r="BO17" s="4">
        <f t="shared" si="1"/>
        <v>0</v>
      </c>
      <c r="BP17" s="4">
        <v>117167.16</v>
      </c>
      <c r="BQ17" s="4"/>
      <c r="BR17" s="4"/>
      <c r="BS17" s="7"/>
      <c r="BT17" s="4">
        <f t="shared" si="15"/>
        <v>514182.91</v>
      </c>
      <c r="BU17" s="9">
        <f t="shared" si="16"/>
        <v>171765.2</v>
      </c>
      <c r="BV17" s="9">
        <f t="shared" si="17"/>
        <v>151419.69</v>
      </c>
      <c r="BW17" s="9">
        <f t="shared" si="2"/>
        <v>334044.09999999998</v>
      </c>
      <c r="BX17" s="9">
        <f t="shared" si="3"/>
        <v>0</v>
      </c>
      <c r="BY17" s="9">
        <f t="shared" si="4"/>
        <v>2875638.7199999997</v>
      </c>
      <c r="BZ17" s="9">
        <f t="shared" si="18"/>
        <v>4047050.6199999996</v>
      </c>
      <c r="CA17" s="9">
        <f t="shared" si="5"/>
        <v>0</v>
      </c>
      <c r="CB17" s="7"/>
      <c r="CC17" s="4">
        <v>2588879.13</v>
      </c>
      <c r="CD17" s="4">
        <v>0</v>
      </c>
      <c r="CE17" s="13"/>
      <c r="CF17" s="4">
        <f t="shared" si="25"/>
        <v>2588879.13</v>
      </c>
      <c r="CG17" s="4">
        <f t="shared" si="26"/>
        <v>0</v>
      </c>
      <c r="CH17" s="4">
        <v>755444.01</v>
      </c>
      <c r="CI17" s="4"/>
      <c r="CJ17" s="4">
        <v>782219.41999999993</v>
      </c>
      <c r="CK17" s="4"/>
      <c r="CL17" s="4">
        <v>30660.560000000001</v>
      </c>
      <c r="CM17" s="4">
        <f t="shared" si="27"/>
        <v>-57435.969999999914</v>
      </c>
      <c r="CN17" s="4">
        <v>0</v>
      </c>
      <c r="CO17" s="4">
        <v>0</v>
      </c>
      <c r="CP17" s="4">
        <v>212940.95</v>
      </c>
      <c r="CQ17" s="4">
        <v>20776.990000000002</v>
      </c>
      <c r="CR17" s="4">
        <v>0</v>
      </c>
      <c r="CS17" s="4">
        <v>0</v>
      </c>
      <c r="CT17" s="4">
        <v>0</v>
      </c>
      <c r="CU17" s="4">
        <v>29303.21</v>
      </c>
      <c r="CV17" s="4">
        <v>0</v>
      </c>
      <c r="CW17" s="4">
        <v>7954.48</v>
      </c>
      <c r="CX17" s="4">
        <v>351</v>
      </c>
      <c r="CY17" s="4">
        <v>44312.5</v>
      </c>
      <c r="CZ17" s="4">
        <v>23047.75</v>
      </c>
      <c r="DA17" s="4">
        <v>5000</v>
      </c>
      <c r="DB17" s="4">
        <v>0</v>
      </c>
      <c r="DC17" s="4">
        <v>0</v>
      </c>
      <c r="DD17" s="4">
        <v>1350.22</v>
      </c>
      <c r="DE17" s="4">
        <v>581.5</v>
      </c>
      <c r="DF17" s="4">
        <v>0</v>
      </c>
      <c r="DG17" s="4">
        <v>0</v>
      </c>
      <c r="DH17" s="4">
        <v>0</v>
      </c>
      <c r="DI17" s="4">
        <v>0</v>
      </c>
      <c r="DJ17" s="4">
        <v>187.3</v>
      </c>
      <c r="DK17" s="4">
        <v>0</v>
      </c>
      <c r="DL17" s="4">
        <v>0</v>
      </c>
      <c r="DM17" s="4">
        <v>0</v>
      </c>
      <c r="DN17" s="4">
        <v>0</v>
      </c>
      <c r="DO17" s="4">
        <v>94317.47</v>
      </c>
      <c r="DP17" s="4"/>
      <c r="DQ17" s="4"/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/>
      <c r="DX17" s="4">
        <v>0</v>
      </c>
      <c r="DY17" s="4">
        <v>0</v>
      </c>
      <c r="DZ17" s="4">
        <v>160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12187.97</v>
      </c>
      <c r="EO17" s="4">
        <f t="shared" si="28"/>
        <v>3796794.4799999995</v>
      </c>
      <c r="EP17" s="4">
        <v>3796794.48</v>
      </c>
      <c r="EQ17" s="4">
        <f t="shared" si="8"/>
        <v>0</v>
      </c>
      <c r="ER17" s="4">
        <v>367423.3</v>
      </c>
      <c r="ES17" s="4"/>
      <c r="ET17" s="4"/>
      <c r="EU17" s="7"/>
      <c r="EV17" s="4">
        <f t="shared" si="20"/>
        <v>0</v>
      </c>
      <c r="EW17" s="4">
        <f t="shared" si="21"/>
        <v>0</v>
      </c>
      <c r="EX17" s="4">
        <f t="shared" si="22"/>
        <v>876536.8899999999</v>
      </c>
      <c r="EY17" s="4">
        <f t="shared" si="23"/>
        <v>2562291.02</v>
      </c>
      <c r="EZ17" s="4">
        <f t="shared" si="24"/>
        <v>357966.56999999995</v>
      </c>
      <c r="FA17" s="13">
        <v>0</v>
      </c>
      <c r="FB17" s="13">
        <f t="shared" si="9"/>
        <v>3796794.48</v>
      </c>
      <c r="FC17" s="13">
        <f t="shared" si="10"/>
        <v>0</v>
      </c>
      <c r="FD17" s="12"/>
      <c r="FE17" s="13">
        <f t="shared" si="11"/>
        <v>1171411.8999999999</v>
      </c>
      <c r="FF17" s="13">
        <f t="shared" si="12"/>
        <v>3796794.48</v>
      </c>
      <c r="FG17" s="13">
        <f t="shared" si="13"/>
        <v>-2625382.58</v>
      </c>
      <c r="FH17" s="13">
        <f t="shared" si="14"/>
        <v>-1748845.69</v>
      </c>
    </row>
    <row r="18" spans="1:164" x14ac:dyDescent="0.35">
      <c r="A18">
        <v>1834</v>
      </c>
      <c r="B18" s="4">
        <v>33707.919999999998</v>
      </c>
      <c r="C18" s="4">
        <v>12300</v>
      </c>
      <c r="D18" s="4">
        <v>65416.71</v>
      </c>
      <c r="E18" s="4">
        <v>127531</v>
      </c>
      <c r="F18" s="4">
        <v>24978.67</v>
      </c>
      <c r="G18" s="4">
        <v>74148.12</v>
      </c>
      <c r="H18" s="4">
        <v>190910.73</v>
      </c>
      <c r="I18" s="4">
        <v>0</v>
      </c>
      <c r="J18" s="4">
        <v>0</v>
      </c>
      <c r="K18" s="4">
        <v>1437.6</v>
      </c>
      <c r="L18" s="4">
        <v>27508.32</v>
      </c>
      <c r="M18" s="4">
        <v>11216.3</v>
      </c>
      <c r="N18" s="4">
        <v>24203.34</v>
      </c>
      <c r="O18" s="4">
        <v>0</v>
      </c>
      <c r="P18" s="4">
        <v>0</v>
      </c>
      <c r="Q18" s="4">
        <v>0</v>
      </c>
      <c r="R18" s="4">
        <v>0</v>
      </c>
      <c r="S18" s="4">
        <v>53223.57</v>
      </c>
      <c r="T18" s="4">
        <v>65632.17</v>
      </c>
      <c r="U18" s="4">
        <v>0</v>
      </c>
      <c r="V18" s="4">
        <v>0</v>
      </c>
      <c r="W18" s="4">
        <v>192.54</v>
      </c>
      <c r="X18" s="4">
        <v>17187.46</v>
      </c>
      <c r="Y18" s="4">
        <v>115.63</v>
      </c>
      <c r="Z18" s="4">
        <v>1160.7</v>
      </c>
      <c r="AA18" s="4">
        <v>665.7</v>
      </c>
      <c r="AB18" s="4">
        <v>0</v>
      </c>
      <c r="AC18" s="4">
        <v>0</v>
      </c>
      <c r="AD18" s="4">
        <v>2122.7600000000002</v>
      </c>
      <c r="AE18" s="4">
        <v>3273.56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989.61</v>
      </c>
      <c r="AM18" s="4">
        <v>309789.15000000002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42506.17</v>
      </c>
      <c r="AY18" s="4">
        <v>0</v>
      </c>
      <c r="AZ18" s="4">
        <v>3529354.44</v>
      </c>
      <c r="BA18" s="4">
        <v>155273.39000000001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100000</v>
      </c>
      <c r="BI18" s="4">
        <v>0</v>
      </c>
      <c r="BJ18" s="4">
        <v>0</v>
      </c>
      <c r="BK18" s="4">
        <v>0</v>
      </c>
      <c r="BL18" s="4">
        <v>1902.49</v>
      </c>
      <c r="BM18" s="4">
        <f t="shared" si="0"/>
        <v>4876748.05</v>
      </c>
      <c r="BN18" s="4">
        <v>4876748.05</v>
      </c>
      <c r="BO18" s="4">
        <f t="shared" si="1"/>
        <v>0</v>
      </c>
      <c r="BP18" s="4">
        <v>367423.3</v>
      </c>
      <c r="BQ18" s="4"/>
      <c r="BR18" s="4"/>
      <c r="BS18" s="7"/>
      <c r="BT18" s="4">
        <f t="shared" si="15"/>
        <v>520748.49</v>
      </c>
      <c r="BU18" s="9">
        <f t="shared" si="16"/>
        <v>152509.66999999998</v>
      </c>
      <c r="BV18" s="9">
        <f t="shared" si="17"/>
        <v>309789.15000000002</v>
      </c>
      <c r="BW18" s="9">
        <f t="shared" si="2"/>
        <v>209072.90999999997</v>
      </c>
      <c r="BX18" s="9">
        <f t="shared" si="3"/>
        <v>0</v>
      </c>
      <c r="BY18" s="9">
        <f t="shared" si="4"/>
        <v>3684627.83</v>
      </c>
      <c r="BZ18" s="9">
        <f t="shared" si="18"/>
        <v>4876748.05</v>
      </c>
      <c r="CA18" s="9">
        <f t="shared" si="5"/>
        <v>0</v>
      </c>
      <c r="CB18" s="7"/>
      <c r="CC18" s="4">
        <v>3679095.39</v>
      </c>
      <c r="CD18" s="4">
        <v>0</v>
      </c>
      <c r="CE18" s="13">
        <v>50000</v>
      </c>
      <c r="CF18" s="4">
        <f t="shared" si="25"/>
        <v>3629095.39</v>
      </c>
      <c r="CG18" s="4">
        <f t="shared" si="26"/>
        <v>0</v>
      </c>
      <c r="CH18" s="4">
        <v>919060.84</v>
      </c>
      <c r="CI18" s="4"/>
      <c r="CJ18" s="4">
        <v>922896.32</v>
      </c>
      <c r="CK18" s="4"/>
      <c r="CL18" s="4">
        <v>41722.14</v>
      </c>
      <c r="CM18" s="4">
        <f t="shared" si="27"/>
        <v>-45557.619999999981</v>
      </c>
      <c r="CN18" s="4">
        <v>0</v>
      </c>
      <c r="CO18" s="4">
        <v>0</v>
      </c>
      <c r="CP18" s="4">
        <v>227187.46</v>
      </c>
      <c r="CQ18" s="4">
        <v>21075.87</v>
      </c>
      <c r="CR18" s="4">
        <v>0</v>
      </c>
      <c r="CS18" s="4">
        <v>0</v>
      </c>
      <c r="CT18" s="4">
        <v>0</v>
      </c>
      <c r="CU18" s="4">
        <v>25613.78</v>
      </c>
      <c r="CV18" s="4">
        <v>0</v>
      </c>
      <c r="CW18" s="4">
        <v>40590.43</v>
      </c>
      <c r="CX18" s="4">
        <v>2144.9</v>
      </c>
      <c r="CY18" s="4">
        <v>84622.91</v>
      </c>
      <c r="CZ18" s="4">
        <v>64111.75</v>
      </c>
      <c r="DA18" s="4">
        <v>5000</v>
      </c>
      <c r="DB18" s="4">
        <v>0</v>
      </c>
      <c r="DC18" s="4">
        <v>0</v>
      </c>
      <c r="DD18" s="4">
        <v>1686.57</v>
      </c>
      <c r="DE18" s="4">
        <v>773.03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103925</v>
      </c>
      <c r="DP18" s="4"/>
      <c r="DQ18" s="4"/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/>
      <c r="DX18" s="4">
        <v>0</v>
      </c>
      <c r="DY18" s="4">
        <v>0</v>
      </c>
      <c r="DZ18" s="4">
        <v>40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15151.22</v>
      </c>
      <c r="EO18" s="4">
        <f t="shared" si="28"/>
        <v>5190079.1500000004</v>
      </c>
      <c r="EP18" s="4">
        <v>5190079.1500000004</v>
      </c>
      <c r="EQ18" s="4">
        <f t="shared" si="8"/>
        <v>0</v>
      </c>
      <c r="ER18" s="4">
        <v>54092.2</v>
      </c>
      <c r="ES18" s="4"/>
      <c r="ET18" s="4"/>
      <c r="EU18" s="7"/>
      <c r="EV18" s="4">
        <f t="shared" si="20"/>
        <v>0</v>
      </c>
      <c r="EW18" s="4">
        <f t="shared" si="21"/>
        <v>0</v>
      </c>
      <c r="EX18" s="4">
        <f t="shared" si="22"/>
        <v>1076821.3199999998</v>
      </c>
      <c r="EY18" s="4">
        <f t="shared" si="23"/>
        <v>3625259.91</v>
      </c>
      <c r="EZ18" s="4">
        <f t="shared" si="24"/>
        <v>487997.92</v>
      </c>
      <c r="FA18" s="13">
        <v>0</v>
      </c>
      <c r="FB18" s="13">
        <f t="shared" si="9"/>
        <v>5190079.1500000004</v>
      </c>
      <c r="FC18" s="13">
        <f t="shared" si="10"/>
        <v>0</v>
      </c>
      <c r="FD18" s="12"/>
      <c r="FE18" s="13">
        <f t="shared" si="11"/>
        <v>1192120.22</v>
      </c>
      <c r="FF18" s="13">
        <f t="shared" si="12"/>
        <v>5190079.1500000004</v>
      </c>
      <c r="FG18" s="13">
        <f t="shared" si="13"/>
        <v>-3997958.9300000006</v>
      </c>
      <c r="FH18" s="13">
        <f t="shared" si="14"/>
        <v>-2921137.6100000003</v>
      </c>
    </row>
    <row r="19" spans="1:164" x14ac:dyDescent="0.35">
      <c r="A19">
        <v>1835</v>
      </c>
      <c r="B19" s="4">
        <v>26395.94</v>
      </c>
      <c r="C19" s="4">
        <v>10900</v>
      </c>
      <c r="D19" s="4">
        <v>57252.03</v>
      </c>
      <c r="E19" s="4">
        <v>150730</v>
      </c>
      <c r="F19" s="4">
        <v>28458.080000000002</v>
      </c>
      <c r="G19" s="4">
        <v>68508.13</v>
      </c>
      <c r="H19" s="4">
        <v>188019.94</v>
      </c>
      <c r="I19" s="4">
        <v>0</v>
      </c>
      <c r="J19" s="4">
        <v>0</v>
      </c>
      <c r="K19" s="4">
        <v>1314.1</v>
      </c>
      <c r="L19" s="4">
        <v>20943.099999999999</v>
      </c>
      <c r="M19" s="4">
        <v>13783.66</v>
      </c>
      <c r="N19" s="4">
        <v>24745.91</v>
      </c>
      <c r="O19" s="4">
        <v>0</v>
      </c>
      <c r="P19" s="4">
        <v>0</v>
      </c>
      <c r="Q19" s="4">
        <v>0</v>
      </c>
      <c r="R19" s="4">
        <v>0</v>
      </c>
      <c r="S19" s="4">
        <v>57825.56</v>
      </c>
      <c r="T19" s="4">
        <v>0</v>
      </c>
      <c r="U19" s="4">
        <v>0</v>
      </c>
      <c r="V19" s="4">
        <v>0</v>
      </c>
      <c r="W19" s="4">
        <v>110</v>
      </c>
      <c r="X19" s="4">
        <v>32166.560000000001</v>
      </c>
      <c r="Y19" s="4">
        <v>159.24</v>
      </c>
      <c r="Z19" s="4">
        <v>787.63</v>
      </c>
      <c r="AA19" s="4">
        <v>456.01</v>
      </c>
      <c r="AB19" s="4">
        <v>80727.839999999997</v>
      </c>
      <c r="AC19" s="4">
        <v>0</v>
      </c>
      <c r="AD19" s="4">
        <v>1625</v>
      </c>
      <c r="AE19" s="4">
        <v>4227.05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684357.77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66608.990000000005</v>
      </c>
      <c r="AY19" s="4">
        <v>0</v>
      </c>
      <c r="AZ19" s="4">
        <v>1629640</v>
      </c>
      <c r="BA19" s="4">
        <v>120916.6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2904.07</v>
      </c>
      <c r="BM19" s="4">
        <f t="shared" si="0"/>
        <v>3273563.21</v>
      </c>
      <c r="BN19" s="4">
        <v>3273563.21</v>
      </c>
      <c r="BO19" s="4">
        <f t="shared" si="1"/>
        <v>0</v>
      </c>
      <c r="BP19" s="4">
        <v>54092.2</v>
      </c>
      <c r="BQ19" s="4"/>
      <c r="BR19" s="4"/>
      <c r="BS19" s="7"/>
      <c r="BT19" s="4">
        <f t="shared" si="15"/>
        <v>519428.3299999999</v>
      </c>
      <c r="BU19" s="9">
        <f t="shared" si="16"/>
        <v>179188.08000000002</v>
      </c>
      <c r="BV19" s="9">
        <f t="shared" si="17"/>
        <v>684357.77</v>
      </c>
      <c r="BW19" s="9">
        <f t="shared" si="2"/>
        <v>140032.43000000002</v>
      </c>
      <c r="BX19" s="9">
        <f t="shared" si="3"/>
        <v>0</v>
      </c>
      <c r="BY19" s="9">
        <f t="shared" si="4"/>
        <v>1750556.6</v>
      </c>
      <c r="BZ19" s="9">
        <f t="shared" si="18"/>
        <v>3273563.21</v>
      </c>
      <c r="CA19" s="9">
        <f t="shared" si="5"/>
        <v>0</v>
      </c>
      <c r="CB19" s="7"/>
      <c r="CC19" s="4">
        <v>0</v>
      </c>
      <c r="CD19" s="4"/>
      <c r="CE19" s="4"/>
      <c r="CF19" s="4">
        <f t="shared" ref="CF19:CF44" si="29">+CC19</f>
        <v>0</v>
      </c>
      <c r="CG19" s="4">
        <f t="shared" si="26"/>
        <v>0</v>
      </c>
      <c r="CH19" s="4">
        <f>78139.13+921931.34+1555200</f>
        <v>2555270.4699999997</v>
      </c>
      <c r="CI19" s="4">
        <v>0</v>
      </c>
      <c r="CJ19" s="4">
        <v>866935.69</v>
      </c>
      <c r="CK19" s="4"/>
      <c r="CL19" s="4">
        <f>+CH19-CJ19</f>
        <v>1688334.7799999998</v>
      </c>
      <c r="CM19" s="21">
        <v>0</v>
      </c>
      <c r="CN19" s="4">
        <v>0</v>
      </c>
      <c r="CO19" s="4">
        <v>10757.82</v>
      </c>
      <c r="CP19" s="4">
        <v>235128.03</v>
      </c>
      <c r="CQ19" s="4">
        <v>21862.44</v>
      </c>
      <c r="CR19" s="4">
        <v>0</v>
      </c>
      <c r="CS19" s="4">
        <v>0</v>
      </c>
      <c r="CT19" s="4">
        <v>0</v>
      </c>
      <c r="CU19" s="4">
        <v>30666.84</v>
      </c>
      <c r="CV19" s="4">
        <v>0</v>
      </c>
      <c r="CW19" s="4">
        <f>29947.69+29460.33</f>
        <v>59408.020000000004</v>
      </c>
      <c r="CX19" s="4">
        <v>250.23</v>
      </c>
      <c r="CY19" s="4">
        <v>77000.179999999993</v>
      </c>
      <c r="CZ19" s="4">
        <v>18654.03</v>
      </c>
      <c r="DA19" s="4">
        <v>5000</v>
      </c>
      <c r="DB19" s="4">
        <v>0</v>
      </c>
      <c r="DC19" s="4">
        <v>0</v>
      </c>
      <c r="DD19" s="4">
        <v>2302.9699999999998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106468.75</v>
      </c>
      <c r="DP19" s="4"/>
      <c r="DQ19" s="4"/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/>
      <c r="DX19" s="4">
        <v>0</v>
      </c>
      <c r="DY19" s="4">
        <v>0</v>
      </c>
      <c r="DZ19" s="4">
        <v>10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9080.5300000000007</v>
      </c>
      <c r="EO19" s="4">
        <f t="shared" si="28"/>
        <v>3131860.3099999996</v>
      </c>
      <c r="EP19" s="4">
        <v>3131860.31</v>
      </c>
      <c r="EQ19" s="4">
        <f t="shared" si="8"/>
        <v>0</v>
      </c>
      <c r="ER19" s="4">
        <v>195795.1</v>
      </c>
      <c r="ES19" s="4"/>
      <c r="ET19" s="4"/>
      <c r="EU19" s="7"/>
      <c r="EV19" s="4">
        <f t="shared" si="20"/>
        <v>0</v>
      </c>
      <c r="EW19" s="4">
        <f t="shared" si="21"/>
        <v>0</v>
      </c>
      <c r="EX19" s="4">
        <f t="shared" si="22"/>
        <v>973404.44</v>
      </c>
      <c r="EY19" s="4">
        <f t="shared" si="23"/>
        <v>1699092.5999999999</v>
      </c>
      <c r="EZ19" s="4">
        <f t="shared" si="24"/>
        <v>459363.27</v>
      </c>
      <c r="FA19" s="13">
        <v>0</v>
      </c>
      <c r="FB19" s="13">
        <f t="shared" si="9"/>
        <v>3131860.31</v>
      </c>
      <c r="FC19" s="13">
        <f t="shared" si="10"/>
        <v>0</v>
      </c>
      <c r="FD19" s="12"/>
      <c r="FE19" s="13">
        <f t="shared" si="11"/>
        <v>1523006.6099999999</v>
      </c>
      <c r="FF19" s="13">
        <f t="shared" si="12"/>
        <v>3131860.31</v>
      </c>
      <c r="FG19" s="13">
        <f t="shared" si="13"/>
        <v>-1608853.7000000002</v>
      </c>
      <c r="FH19" s="13">
        <f t="shared" si="14"/>
        <v>-635449.26000000024</v>
      </c>
    </row>
    <row r="20" spans="1:164" x14ac:dyDescent="0.35">
      <c r="A20">
        <v>1836</v>
      </c>
      <c r="B20" s="4">
        <v>65763.8</v>
      </c>
      <c r="C20" s="4">
        <v>9900</v>
      </c>
      <c r="D20" s="4">
        <v>67160.58</v>
      </c>
      <c r="E20" s="4">
        <v>163463</v>
      </c>
      <c r="F20" s="4">
        <v>39760.019999999997</v>
      </c>
      <c r="G20" s="4">
        <v>91415.6</v>
      </c>
      <c r="H20" s="4">
        <v>193360.63</v>
      </c>
      <c r="I20" s="4">
        <v>0</v>
      </c>
      <c r="J20" s="4">
        <v>0</v>
      </c>
      <c r="K20" s="4">
        <v>0</v>
      </c>
      <c r="L20" s="4">
        <v>31020.68</v>
      </c>
      <c r="M20" s="4">
        <v>7921.18</v>
      </c>
      <c r="N20" s="4">
        <v>25727.94</v>
      </c>
      <c r="O20" s="4">
        <v>0</v>
      </c>
      <c r="P20" s="4">
        <v>0</v>
      </c>
      <c r="Q20" s="4">
        <v>0</v>
      </c>
      <c r="R20" s="4">
        <v>0</v>
      </c>
      <c r="S20" s="4">
        <v>52547.97</v>
      </c>
      <c r="T20" s="4">
        <v>0</v>
      </c>
      <c r="U20" s="4">
        <v>0</v>
      </c>
      <c r="V20" s="4">
        <v>0</v>
      </c>
      <c r="W20" s="4">
        <v>14.5</v>
      </c>
      <c r="X20" s="4">
        <v>20484.07</v>
      </c>
      <c r="Y20" s="4">
        <v>212.77</v>
      </c>
      <c r="Z20" s="4">
        <v>3160.16</v>
      </c>
      <c r="AA20" s="4">
        <v>968.16</v>
      </c>
      <c r="AB20" s="4">
        <v>46984.42</v>
      </c>
      <c r="AC20" s="4">
        <v>0</v>
      </c>
      <c r="AD20" s="4">
        <v>456</v>
      </c>
      <c r="AE20" s="4">
        <v>2106.75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477.37</v>
      </c>
      <c r="AM20" s="4">
        <v>837805.72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1719673.12</v>
      </c>
      <c r="AY20" s="4">
        <v>0</v>
      </c>
      <c r="AZ20" s="4">
        <f>64700+350000</f>
        <v>414700</v>
      </c>
      <c r="BA20" s="4">
        <v>7776.94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1779.26</v>
      </c>
      <c r="BM20" s="4">
        <f t="shared" si="0"/>
        <v>3804640.64</v>
      </c>
      <c r="BN20" s="4">
        <f>4000437.64-195795.1</f>
        <v>3804642.54</v>
      </c>
      <c r="BO20" s="4">
        <f t="shared" si="1"/>
        <v>-1.8999999999068677</v>
      </c>
      <c r="BP20" s="4">
        <v>195795.1</v>
      </c>
      <c r="BQ20" s="4"/>
      <c r="BR20" s="4"/>
      <c r="BS20" s="7"/>
      <c r="BT20" s="4">
        <f t="shared" si="15"/>
        <v>520147.27999999991</v>
      </c>
      <c r="BU20" s="9">
        <f t="shared" si="16"/>
        <v>203223.02</v>
      </c>
      <c r="BV20" s="9">
        <f t="shared" si="17"/>
        <v>837805.72</v>
      </c>
      <c r="BW20" s="9">
        <f t="shared" si="2"/>
        <v>1820987.6800000002</v>
      </c>
      <c r="BX20" s="9">
        <f t="shared" si="3"/>
        <v>0</v>
      </c>
      <c r="BY20" s="9">
        <f t="shared" si="4"/>
        <v>422476.94</v>
      </c>
      <c r="BZ20" s="9">
        <f t="shared" si="18"/>
        <v>3804640.64</v>
      </c>
      <c r="CA20" s="9">
        <f t="shared" si="5"/>
        <v>0</v>
      </c>
      <c r="CB20" s="7"/>
      <c r="CC20" s="4">
        <v>0</v>
      </c>
      <c r="CD20" s="4"/>
      <c r="CE20" s="4"/>
      <c r="CF20" s="4">
        <f t="shared" si="29"/>
        <v>0</v>
      </c>
      <c r="CG20" s="4">
        <f t="shared" si="26"/>
        <v>0</v>
      </c>
      <c r="CH20" s="4">
        <f>2760717.61</f>
        <v>2760717.61</v>
      </c>
      <c r="CI20" s="4">
        <v>0</v>
      </c>
      <c r="CJ20" s="4">
        <v>1116563.2</v>
      </c>
      <c r="CK20" s="4"/>
      <c r="CL20" s="4">
        <v>1044154.4099999999</v>
      </c>
      <c r="CM20" s="4">
        <f t="shared" si="27"/>
        <v>600000</v>
      </c>
      <c r="CN20" s="4">
        <v>0</v>
      </c>
      <c r="CO20" s="4">
        <f>28386.19+139000</f>
        <v>167386.19</v>
      </c>
      <c r="CP20" s="4">
        <v>259191.38</v>
      </c>
      <c r="CQ20" s="4">
        <v>29601.65</v>
      </c>
      <c r="CR20" s="4">
        <v>0</v>
      </c>
      <c r="CS20" s="4">
        <v>0</v>
      </c>
      <c r="CT20" s="4">
        <v>0</v>
      </c>
      <c r="CU20" s="4">
        <v>45179.96</v>
      </c>
      <c r="CV20" s="4">
        <v>0</v>
      </c>
      <c r="CW20" s="4">
        <v>161838.54999999999</v>
      </c>
      <c r="CX20" s="4">
        <v>341.93</v>
      </c>
      <c r="CY20" s="4">
        <v>25728.28</v>
      </c>
      <c r="CZ20" s="4">
        <v>19381.09</v>
      </c>
      <c r="DA20" s="4">
        <v>5000</v>
      </c>
      <c r="DB20" s="4">
        <v>0</v>
      </c>
      <c r="DC20" s="4">
        <v>0</v>
      </c>
      <c r="DD20" s="4">
        <v>1985.71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74440</v>
      </c>
      <c r="DO20" s="4">
        <v>108319.57</v>
      </c>
      <c r="DP20" s="4"/>
      <c r="DQ20" s="4"/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/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16526.189999999999</v>
      </c>
      <c r="EO20" s="4">
        <f t="shared" si="28"/>
        <v>3675638.11</v>
      </c>
      <c r="EP20" s="4">
        <v>3675638.11</v>
      </c>
      <c r="EQ20" s="4">
        <f t="shared" si="8"/>
        <v>0</v>
      </c>
      <c r="ER20" s="4">
        <v>324799.53000000003</v>
      </c>
      <c r="ES20" s="4"/>
      <c r="ET20" s="4"/>
      <c r="EU20" s="7"/>
      <c r="EV20" s="4">
        <f t="shared" si="20"/>
        <v>74440</v>
      </c>
      <c r="EW20" s="4">
        <f t="shared" si="21"/>
        <v>0</v>
      </c>
      <c r="EX20" s="4">
        <f t="shared" si="22"/>
        <v>1224882.77</v>
      </c>
      <c r="EY20" s="4">
        <f t="shared" si="23"/>
        <v>1811540.5999999999</v>
      </c>
      <c r="EZ20" s="4">
        <f t="shared" si="24"/>
        <v>564774.73999999987</v>
      </c>
      <c r="FA20" s="13">
        <v>0</v>
      </c>
      <c r="FB20" s="13">
        <f t="shared" si="9"/>
        <v>3675638.11</v>
      </c>
      <c r="FC20" s="13">
        <f t="shared" si="10"/>
        <v>0</v>
      </c>
      <c r="FD20" s="12"/>
      <c r="FE20" s="13">
        <f t="shared" si="11"/>
        <v>3382163.7</v>
      </c>
      <c r="FF20" s="13">
        <f t="shared" si="12"/>
        <v>3601198.11</v>
      </c>
      <c r="FG20" s="13">
        <f t="shared" si="13"/>
        <v>-219034.40999999968</v>
      </c>
      <c r="FH20" s="13">
        <f t="shared" si="14"/>
        <v>1005848.3600000003</v>
      </c>
    </row>
    <row r="21" spans="1:164" x14ac:dyDescent="0.35">
      <c r="A21">
        <v>1837</v>
      </c>
      <c r="B21" s="4">
        <v>73944.070000000007</v>
      </c>
      <c r="C21" s="4">
        <v>11700</v>
      </c>
      <c r="D21" s="4">
        <v>76877.22</v>
      </c>
      <c r="E21" s="4">
        <v>170963</v>
      </c>
      <c r="F21" s="4">
        <f>13164.7+32246.5</f>
        <v>45411.199999999997</v>
      </c>
      <c r="G21" s="4">
        <v>117869.87</v>
      </c>
      <c r="H21" s="4">
        <v>30333.17</v>
      </c>
      <c r="I21" s="4">
        <v>0</v>
      </c>
      <c r="J21" s="4">
        <v>0</v>
      </c>
      <c r="K21" s="4">
        <v>1474.8</v>
      </c>
      <c r="L21" s="4">
        <v>24039.7</v>
      </c>
      <c r="M21" s="4">
        <v>7907.92</v>
      </c>
      <c r="N21" s="4">
        <v>25680.91</v>
      </c>
      <c r="O21" s="4">
        <v>0</v>
      </c>
      <c r="P21" s="4">
        <v>0</v>
      </c>
      <c r="Q21" s="4">
        <v>0</v>
      </c>
      <c r="R21" s="4">
        <v>0</v>
      </c>
      <c r="S21" s="4">
        <v>50779.23</v>
      </c>
      <c r="T21" s="4">
        <v>0</v>
      </c>
      <c r="U21" s="4">
        <v>0</v>
      </c>
      <c r="V21" s="4">
        <v>0</v>
      </c>
      <c r="W21" s="4">
        <v>71.25</v>
      </c>
      <c r="X21" s="4">
        <v>27065.02</v>
      </c>
      <c r="Y21" s="4">
        <v>240.93</v>
      </c>
      <c r="Z21" s="4">
        <v>22.8</v>
      </c>
      <c r="AA21" s="4">
        <v>686.61</v>
      </c>
      <c r="AB21" s="4">
        <v>62155.199999999997</v>
      </c>
      <c r="AC21" s="4">
        <v>0</v>
      </c>
      <c r="AD21" s="4">
        <v>513</v>
      </c>
      <c r="AE21" s="4">
        <v>3113.35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975350.49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2867514.78</v>
      </c>
      <c r="AT21" s="4">
        <v>0</v>
      </c>
      <c r="AU21" s="4">
        <v>1621.63</v>
      </c>
      <c r="AV21" s="4">
        <v>0</v>
      </c>
      <c r="AW21" s="4">
        <v>0</v>
      </c>
      <c r="AX21" s="4">
        <v>1290250</v>
      </c>
      <c r="AY21" s="4">
        <v>0</v>
      </c>
      <c r="AZ21" s="4">
        <v>175000</v>
      </c>
      <c r="BA21" s="4">
        <v>0</v>
      </c>
      <c r="BB21" s="4">
        <v>22662.3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6028.51</v>
      </c>
      <c r="BM21" s="4">
        <f t="shared" si="0"/>
        <v>6069276.959999999</v>
      </c>
      <c r="BN21" s="4">
        <v>6069276.4699999997</v>
      </c>
      <c r="BO21" s="8">
        <f t="shared" si="1"/>
        <v>0.48999999929219484</v>
      </c>
      <c r="BP21" s="8">
        <v>324799.5</v>
      </c>
      <c r="BQ21" s="4"/>
      <c r="BR21" s="4"/>
      <c r="BS21" s="7"/>
      <c r="BT21" s="4">
        <f t="shared" si="15"/>
        <v>401430.98</v>
      </c>
      <c r="BU21" s="9">
        <f t="shared" si="16"/>
        <v>240658.13</v>
      </c>
      <c r="BV21" s="9">
        <f t="shared" si="17"/>
        <v>975350.49</v>
      </c>
      <c r="BW21" s="9">
        <f t="shared" si="2"/>
        <v>1409322.58</v>
      </c>
      <c r="BX21" s="9">
        <f t="shared" si="3"/>
        <v>2867514.78</v>
      </c>
      <c r="BY21" s="9">
        <f t="shared" si="4"/>
        <v>175000</v>
      </c>
      <c r="BZ21" s="9">
        <f t="shared" si="18"/>
        <v>6069276.96</v>
      </c>
      <c r="CA21" s="9">
        <f t="shared" si="5"/>
        <v>0</v>
      </c>
      <c r="CB21" s="7"/>
      <c r="CC21" s="4">
        <v>0</v>
      </c>
      <c r="CD21" s="4"/>
      <c r="CE21" s="4"/>
      <c r="CF21" s="4">
        <f t="shared" si="29"/>
        <v>0</v>
      </c>
      <c r="CG21" s="4">
        <f t="shared" si="26"/>
        <v>0</v>
      </c>
      <c r="CH21" s="4">
        <v>2772719.71</v>
      </c>
      <c r="CI21" s="4"/>
      <c r="CJ21" s="19">
        <v>1114031.68</v>
      </c>
      <c r="CK21" s="4"/>
      <c r="CL21" s="19">
        <v>1658688.03</v>
      </c>
      <c r="CM21" s="4">
        <f t="shared" si="27"/>
        <v>0</v>
      </c>
      <c r="CN21" s="4">
        <v>0</v>
      </c>
      <c r="CO21" s="4">
        <v>36739.279999999999</v>
      </c>
      <c r="CP21" s="4">
        <v>271639.95</v>
      </c>
      <c r="CQ21" s="4">
        <v>22451.01</v>
      </c>
      <c r="CR21" s="4">
        <v>0</v>
      </c>
      <c r="CS21" s="4">
        <v>0</v>
      </c>
      <c r="CT21" s="4">
        <v>0</v>
      </c>
      <c r="CU21" s="4">
        <v>44915.69</v>
      </c>
      <c r="CV21" s="4">
        <v>0</v>
      </c>
      <c r="CW21" s="4">
        <v>608732.22</v>
      </c>
      <c r="CX21" s="4">
        <v>0</v>
      </c>
      <c r="CY21" s="4">
        <v>13562.75</v>
      </c>
      <c r="CZ21" s="4">
        <v>16145</v>
      </c>
      <c r="DA21" s="4">
        <v>5000</v>
      </c>
      <c r="DB21" s="4">
        <v>0</v>
      </c>
      <c r="DC21" s="4">
        <v>6500</v>
      </c>
      <c r="DD21" s="4">
        <v>809.37</v>
      </c>
      <c r="DE21" s="4">
        <v>684.06</v>
      </c>
      <c r="DF21" s="4">
        <v>71739.67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2048</v>
      </c>
      <c r="DN21" s="4">
        <v>175000</v>
      </c>
      <c r="DO21" s="4">
        <v>104685.27</v>
      </c>
      <c r="DP21" s="4"/>
      <c r="DQ21" s="4"/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/>
      <c r="DX21" s="4">
        <v>0</v>
      </c>
      <c r="DY21" s="4">
        <v>0</v>
      </c>
      <c r="DZ21" s="4">
        <v>30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20538.28</v>
      </c>
      <c r="EO21" s="4">
        <f t="shared" si="28"/>
        <v>4173940.26</v>
      </c>
      <c r="EP21" s="4">
        <v>4173940.26</v>
      </c>
      <c r="EQ21" s="4">
        <f t="shared" si="8"/>
        <v>0</v>
      </c>
      <c r="ER21" s="4">
        <v>2220135.7400000002</v>
      </c>
      <c r="ES21" s="4"/>
      <c r="ET21" s="4"/>
      <c r="EU21" s="7"/>
      <c r="EV21" s="4">
        <f t="shared" si="20"/>
        <v>175000</v>
      </c>
      <c r="EW21" s="4">
        <f t="shared" si="21"/>
        <v>0</v>
      </c>
      <c r="EX21" s="4">
        <f t="shared" si="22"/>
        <v>1218716.95</v>
      </c>
      <c r="EY21" s="4">
        <f t="shared" si="23"/>
        <v>1701927.31</v>
      </c>
      <c r="EZ21" s="4">
        <f t="shared" si="24"/>
        <v>1078296</v>
      </c>
      <c r="FA21" s="13">
        <v>0</v>
      </c>
      <c r="FB21" s="13">
        <f t="shared" si="9"/>
        <v>4173940.26</v>
      </c>
      <c r="FC21" s="13">
        <f t="shared" si="10"/>
        <v>0</v>
      </c>
      <c r="FD21" s="12"/>
      <c r="FE21" s="13">
        <f t="shared" si="11"/>
        <v>5894276.96</v>
      </c>
      <c r="FF21" s="13">
        <f t="shared" si="12"/>
        <v>3998940.26</v>
      </c>
      <c r="FG21" s="13">
        <f t="shared" si="13"/>
        <v>1895336.7000000002</v>
      </c>
      <c r="FH21" s="13">
        <f t="shared" si="14"/>
        <v>3114053.6500000004</v>
      </c>
    </row>
    <row r="22" spans="1:164" x14ac:dyDescent="0.35">
      <c r="A22">
        <v>1838</v>
      </c>
      <c r="B22" s="4">
        <v>61765.57</v>
      </c>
      <c r="C22" s="4">
        <v>11400</v>
      </c>
      <c r="D22" s="4">
        <v>77391.95</v>
      </c>
      <c r="E22" s="4">
        <v>158230</v>
      </c>
      <c r="F22" s="4">
        <v>43389.08</v>
      </c>
      <c r="G22" s="4">
        <v>113826.89</v>
      </c>
      <c r="H22" s="4">
        <v>9916.33</v>
      </c>
      <c r="I22" s="4">
        <v>0</v>
      </c>
      <c r="J22" s="4">
        <v>3564.2</v>
      </c>
      <c r="K22" s="4">
        <v>0</v>
      </c>
      <c r="L22" s="4">
        <v>380.46</v>
      </c>
      <c r="M22" s="4">
        <v>8349.43</v>
      </c>
      <c r="N22" s="4">
        <v>21972.01</v>
      </c>
      <c r="O22" s="4">
        <v>0</v>
      </c>
      <c r="P22" s="4">
        <v>0</v>
      </c>
      <c r="Q22" s="4">
        <v>0</v>
      </c>
      <c r="R22" s="4">
        <v>0</v>
      </c>
      <c r="S22" s="4">
        <v>50311.32</v>
      </c>
      <c r="T22" s="4">
        <v>0</v>
      </c>
      <c r="U22" s="4">
        <v>0</v>
      </c>
      <c r="V22" s="4">
        <v>0</v>
      </c>
      <c r="W22" s="4">
        <v>9.5</v>
      </c>
      <c r="X22" s="4">
        <v>22295.7</v>
      </c>
      <c r="Y22" s="4">
        <v>593.35</v>
      </c>
      <c r="Z22" s="4">
        <v>288.58</v>
      </c>
      <c r="AA22" s="4">
        <v>698.93</v>
      </c>
      <c r="AB22" s="4">
        <v>76525.61</v>
      </c>
      <c r="AC22" s="4">
        <v>0</v>
      </c>
      <c r="AD22" s="4">
        <v>397.5</v>
      </c>
      <c r="AE22" s="4">
        <v>5303.71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1231.48</v>
      </c>
      <c r="AM22" s="4">
        <v>959336.32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315.33</v>
      </c>
      <c r="AV22" s="4">
        <v>0</v>
      </c>
      <c r="AW22" s="4">
        <v>0</v>
      </c>
      <c r="AX22" s="4">
        <v>227053.53</v>
      </c>
      <c r="AY22" s="4">
        <v>0</v>
      </c>
      <c r="AZ22" s="4">
        <v>775000</v>
      </c>
      <c r="BA22" s="4">
        <v>0</v>
      </c>
      <c r="BB22" s="4">
        <v>137668.85999999999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1871.65</v>
      </c>
      <c r="BM22" s="4">
        <f t="shared" si="0"/>
        <v>2769087.29</v>
      </c>
      <c r="BN22" s="4">
        <v>2769087.29</v>
      </c>
      <c r="BO22" s="4">
        <f t="shared" si="1"/>
        <v>0</v>
      </c>
      <c r="BP22" s="4">
        <v>2220135.7400000002</v>
      </c>
      <c r="BQ22" s="4"/>
      <c r="BR22" s="4"/>
      <c r="BS22" s="7"/>
      <c r="BT22" s="4">
        <f t="shared" si="15"/>
        <v>369869.81999999995</v>
      </c>
      <c r="BU22" s="9">
        <f t="shared" si="16"/>
        <v>339603.27</v>
      </c>
      <c r="BV22" s="9">
        <f t="shared" si="17"/>
        <v>959336.32</v>
      </c>
      <c r="BW22" s="9">
        <f t="shared" si="2"/>
        <v>325277.88</v>
      </c>
      <c r="BX22" s="9">
        <f t="shared" si="3"/>
        <v>0</v>
      </c>
      <c r="BY22" s="9">
        <f t="shared" si="4"/>
        <v>775000</v>
      </c>
      <c r="BZ22" s="9">
        <f t="shared" si="18"/>
        <v>2769087.29</v>
      </c>
      <c r="CA22" s="9">
        <f t="shared" si="5"/>
        <v>0</v>
      </c>
      <c r="CB22" s="7"/>
      <c r="CC22" s="4">
        <v>0</v>
      </c>
      <c r="CD22" s="4"/>
      <c r="CE22" s="4"/>
      <c r="CF22" s="4">
        <f t="shared" si="29"/>
        <v>0</v>
      </c>
      <c r="CG22" s="4">
        <f t="shared" si="26"/>
        <v>0</v>
      </c>
      <c r="CH22" s="4">
        <v>3153125.79</v>
      </c>
      <c r="CI22" s="4"/>
      <c r="CJ22" s="4">
        <v>1111500.1599999999</v>
      </c>
      <c r="CK22" s="4">
        <v>68500</v>
      </c>
      <c r="CL22" s="4">
        <v>1973125.63</v>
      </c>
      <c r="CM22" s="4">
        <f t="shared" si="27"/>
        <v>0</v>
      </c>
      <c r="CN22" s="4">
        <v>283156.18</v>
      </c>
      <c r="CO22" s="4">
        <f>119161.42+100050+62950</f>
        <v>282161.42</v>
      </c>
      <c r="CP22" s="4">
        <v>295694.01</v>
      </c>
      <c r="CQ22" s="4">
        <v>30664.240000000002</v>
      </c>
      <c r="CR22" s="4">
        <v>0</v>
      </c>
      <c r="CS22" s="4">
        <v>0</v>
      </c>
      <c r="CT22" s="4">
        <v>0</v>
      </c>
      <c r="CU22" s="4">
        <v>47091.53</v>
      </c>
      <c r="CV22" s="4">
        <v>0</v>
      </c>
      <c r="CW22" s="4">
        <v>414828.1</v>
      </c>
      <c r="CX22" s="4">
        <v>0</v>
      </c>
      <c r="CY22" s="4">
        <v>34368</v>
      </c>
      <c r="CZ22" s="4">
        <v>6624</v>
      </c>
      <c r="DA22" s="4">
        <v>5000</v>
      </c>
      <c r="DB22" s="4">
        <v>0</v>
      </c>
      <c r="DC22" s="4">
        <v>12000</v>
      </c>
      <c r="DD22" s="4">
        <v>1496.84</v>
      </c>
      <c r="DE22" s="4">
        <v>1264.4100000000001</v>
      </c>
      <c r="DF22" s="4">
        <v>157622.89000000001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3460</v>
      </c>
      <c r="DN22" s="4">
        <v>0</v>
      </c>
      <c r="DO22" s="4">
        <v>99000</v>
      </c>
      <c r="DP22" s="4"/>
      <c r="DQ22" s="4"/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/>
      <c r="DX22" s="4">
        <v>0</v>
      </c>
      <c r="DY22" s="4">
        <v>0</v>
      </c>
      <c r="DZ22" s="4">
        <v>30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18363.09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43913.23</v>
      </c>
      <c r="EO22" s="4">
        <f t="shared" si="28"/>
        <v>4889863.7300000004</v>
      </c>
      <c r="EP22" s="4">
        <v>4889863.7300000004</v>
      </c>
      <c r="EQ22" s="4">
        <f t="shared" si="8"/>
        <v>0</v>
      </c>
      <c r="ER22" s="4">
        <v>99359.3</v>
      </c>
      <c r="ES22" s="4"/>
      <c r="ET22" s="4"/>
      <c r="EU22" s="7"/>
      <c r="EV22" s="4">
        <f t="shared" si="20"/>
        <v>0</v>
      </c>
      <c r="EW22" s="4">
        <f t="shared" si="21"/>
        <v>0</v>
      </c>
      <c r="EX22" s="4">
        <f t="shared" si="22"/>
        <v>1279000.1599999999</v>
      </c>
      <c r="EY22" s="4">
        <f t="shared" si="23"/>
        <v>2550443.23</v>
      </c>
      <c r="EZ22" s="4">
        <f t="shared" si="24"/>
        <v>1060420.3400000001</v>
      </c>
      <c r="FA22" s="13">
        <v>0</v>
      </c>
      <c r="FB22" s="13">
        <f t="shared" si="9"/>
        <v>4889863.7299999995</v>
      </c>
      <c r="FC22" s="13">
        <f t="shared" si="10"/>
        <v>0</v>
      </c>
      <c r="FD22" s="12"/>
      <c r="FE22" s="13">
        <f t="shared" si="11"/>
        <v>1994087.29</v>
      </c>
      <c r="FF22" s="13">
        <f t="shared" si="12"/>
        <v>4889863.7299999995</v>
      </c>
      <c r="FG22" s="13">
        <f t="shared" si="13"/>
        <v>-2895776.4399999995</v>
      </c>
      <c r="FH22" s="13">
        <f t="shared" si="14"/>
        <v>-1616776.2799999993</v>
      </c>
    </row>
    <row r="23" spans="1:164" x14ac:dyDescent="0.35">
      <c r="A23">
        <v>1839</v>
      </c>
      <c r="B23" s="4">
        <v>46594.95</v>
      </c>
      <c r="C23" s="4">
        <v>17169.740000000002</v>
      </c>
      <c r="D23" s="4">
        <v>84558.87</v>
      </c>
      <c r="E23" s="4">
        <v>166079.5</v>
      </c>
      <c r="F23" s="4">
        <f>5268.2+35749.5</f>
        <v>41017.699999999997</v>
      </c>
      <c r="G23" s="4">
        <v>133440.78</v>
      </c>
      <c r="H23" s="4">
        <v>9210.36</v>
      </c>
      <c r="I23" s="4">
        <v>0</v>
      </c>
      <c r="J23" s="4">
        <v>2240</v>
      </c>
      <c r="K23" s="4">
        <v>0</v>
      </c>
      <c r="L23" s="4">
        <v>8993.93</v>
      </c>
      <c r="M23" s="4">
        <v>2882.9</v>
      </c>
      <c r="N23" s="4">
        <v>26652.560000000001</v>
      </c>
      <c r="O23" s="4">
        <v>0</v>
      </c>
      <c r="P23" s="4">
        <v>0</v>
      </c>
      <c r="Q23" s="4">
        <v>0</v>
      </c>
      <c r="R23" s="4">
        <v>0</v>
      </c>
      <c r="S23" s="4">
        <v>49027.77</v>
      </c>
      <c r="T23" s="4">
        <v>0</v>
      </c>
      <c r="U23" s="4">
        <v>0</v>
      </c>
      <c r="V23" s="4">
        <v>0</v>
      </c>
      <c r="W23" s="4">
        <v>0</v>
      </c>
      <c r="X23" s="4">
        <v>35908.78</v>
      </c>
      <c r="Y23" s="4">
        <v>270.85000000000002</v>
      </c>
      <c r="Z23" s="4">
        <v>822.16</v>
      </c>
      <c r="AA23" s="4">
        <f>730.73+56.56</f>
        <v>787.29</v>
      </c>
      <c r="AB23" s="4">
        <v>68202.97</v>
      </c>
      <c r="AC23" s="4">
        <v>0</v>
      </c>
      <c r="AD23" s="4">
        <v>370.5</v>
      </c>
      <c r="AE23" s="4">
        <v>3925.15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3020.24</v>
      </c>
      <c r="AM23" s="4">
        <v>1076045.47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476.89</v>
      </c>
      <c r="AV23" s="4">
        <v>0</v>
      </c>
      <c r="AW23" s="4">
        <v>1310.55</v>
      </c>
      <c r="AX23" s="4">
        <v>103875.03</v>
      </c>
      <c r="AY23" s="4">
        <v>0</v>
      </c>
      <c r="AZ23" s="4">
        <v>6309750</v>
      </c>
      <c r="BA23" s="4">
        <v>2087.5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14579.11</v>
      </c>
      <c r="BM23" s="4">
        <f t="shared" si="0"/>
        <v>8209301.5500000007</v>
      </c>
      <c r="BN23" s="4">
        <v>8209301.5499999998</v>
      </c>
      <c r="BO23" s="4">
        <f t="shared" si="1"/>
        <v>0</v>
      </c>
      <c r="BP23" s="4">
        <v>99359.3</v>
      </c>
      <c r="BQ23" s="4"/>
      <c r="BR23" s="4"/>
      <c r="BS23" s="7"/>
      <c r="BT23" s="4">
        <f t="shared" si="15"/>
        <v>393313.32000000007</v>
      </c>
      <c r="BU23" s="9">
        <f t="shared" si="16"/>
        <v>207574.09000000003</v>
      </c>
      <c r="BV23" s="9">
        <f t="shared" si="17"/>
        <v>1076045.47</v>
      </c>
      <c r="BW23" s="9">
        <f t="shared" si="2"/>
        <v>220531.16999999998</v>
      </c>
      <c r="BX23" s="9">
        <f t="shared" si="3"/>
        <v>0</v>
      </c>
      <c r="BY23" s="9">
        <f t="shared" si="4"/>
        <v>6311837.5</v>
      </c>
      <c r="BZ23" s="9">
        <f t="shared" si="18"/>
        <v>8209301.5499999998</v>
      </c>
      <c r="CA23" s="9">
        <f t="shared" si="5"/>
        <v>0</v>
      </c>
      <c r="CB23" s="7"/>
      <c r="CC23" s="4"/>
      <c r="CD23" s="4"/>
      <c r="CE23" s="4"/>
      <c r="CF23" s="4">
        <f t="shared" si="29"/>
        <v>0</v>
      </c>
      <c r="CG23" s="4">
        <f t="shared" si="26"/>
        <v>0</v>
      </c>
      <c r="CH23" s="4">
        <v>3263929.02</v>
      </c>
      <c r="CI23" s="4"/>
      <c r="CJ23" s="4">
        <v>1152638.31</v>
      </c>
      <c r="CK23" s="4"/>
      <c r="CL23" s="4">
        <v>2111290.71</v>
      </c>
      <c r="CM23" s="4">
        <f t="shared" si="27"/>
        <v>0</v>
      </c>
      <c r="CN23" s="4">
        <v>222384.25</v>
      </c>
      <c r="CO23" s="4">
        <f>38618+19550+56201.3</f>
        <v>114369.3</v>
      </c>
      <c r="CP23" s="4">
        <v>412751.63</v>
      </c>
      <c r="CQ23" s="4">
        <v>25981.17</v>
      </c>
      <c r="CR23" s="4">
        <v>0</v>
      </c>
      <c r="CS23" s="4">
        <v>0</v>
      </c>
      <c r="CT23" s="4">
        <v>0</v>
      </c>
      <c r="CU23" s="4">
        <v>53588.74</v>
      </c>
      <c r="CV23" s="4">
        <v>0</v>
      </c>
      <c r="CW23" s="4">
        <v>385253.14</v>
      </c>
      <c r="CX23" s="4">
        <v>0</v>
      </c>
      <c r="CY23" s="4">
        <v>18376.759999999998</v>
      </c>
      <c r="CZ23" s="4">
        <v>12449.78</v>
      </c>
      <c r="DA23" s="4">
        <v>5000</v>
      </c>
      <c r="DB23" s="4">
        <v>0</v>
      </c>
      <c r="DC23" s="4">
        <v>15991.27</v>
      </c>
      <c r="DD23" s="4">
        <v>688.9</v>
      </c>
      <c r="DE23" s="4">
        <v>1513.93</v>
      </c>
      <c r="DF23" s="4">
        <v>49661.31</v>
      </c>
      <c r="DG23" s="4">
        <v>3657.91</v>
      </c>
      <c r="DH23" s="4">
        <v>0</v>
      </c>
      <c r="DI23" s="4">
        <v>0</v>
      </c>
      <c r="DJ23" s="4">
        <v>0</v>
      </c>
      <c r="DK23" s="4">
        <v>6421.52</v>
      </c>
      <c r="DL23" s="4">
        <v>0</v>
      </c>
      <c r="DM23" s="4">
        <v>2361</v>
      </c>
      <c r="DN23" s="4">
        <v>2204750.08</v>
      </c>
      <c r="DO23" s="4">
        <v>143371.93</v>
      </c>
      <c r="DP23" s="4"/>
      <c r="DQ23" s="4"/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/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316.45</v>
      </c>
      <c r="EM23" s="4">
        <v>568.44000000000005</v>
      </c>
      <c r="EN23" s="4">
        <v>28103.68</v>
      </c>
      <c r="EO23" s="4">
        <f t="shared" si="28"/>
        <v>6971490.2100000009</v>
      </c>
      <c r="EP23" s="4">
        <v>6971490.21</v>
      </c>
      <c r="EQ23" s="4">
        <f t="shared" ref="EQ23:EQ27" si="30">+EO23-EP23</f>
        <v>0</v>
      </c>
      <c r="ER23" s="4">
        <v>1337170.6399999999</v>
      </c>
      <c r="ES23" s="4"/>
      <c r="ET23" s="4"/>
      <c r="EU23" s="7"/>
      <c r="EV23" s="4">
        <f t="shared" si="20"/>
        <v>2204750.08</v>
      </c>
      <c r="EW23" s="4">
        <f t="shared" si="21"/>
        <v>0</v>
      </c>
      <c r="EX23" s="4">
        <f t="shared" si="22"/>
        <v>1296010.24</v>
      </c>
      <c r="EY23" s="4">
        <f t="shared" si="23"/>
        <v>2470457.0499999998</v>
      </c>
      <c r="EZ23" s="4">
        <f t="shared" si="24"/>
        <v>1000272.8400000001</v>
      </c>
      <c r="FA23" s="13">
        <v>0</v>
      </c>
      <c r="FB23" s="13">
        <f t="shared" si="9"/>
        <v>6971490.21</v>
      </c>
      <c r="FC23" s="13">
        <f t="shared" si="10"/>
        <v>0</v>
      </c>
      <c r="FD23" s="12"/>
      <c r="FE23" s="13">
        <f t="shared" si="11"/>
        <v>1897464.05</v>
      </c>
      <c r="FF23" s="13">
        <f t="shared" si="12"/>
        <v>4766740.13</v>
      </c>
      <c r="FG23" s="13">
        <f t="shared" si="13"/>
        <v>-2869276.08</v>
      </c>
      <c r="FH23" s="13">
        <f t="shared" si="14"/>
        <v>-1573265.8399999996</v>
      </c>
    </row>
    <row r="24" spans="1:164" x14ac:dyDescent="0.35">
      <c r="A24">
        <v>1840</v>
      </c>
      <c r="B24" s="4">
        <v>37317.9</v>
      </c>
      <c r="C24" s="4">
        <v>23425</v>
      </c>
      <c r="D24" s="4">
        <v>77925.460000000006</v>
      </c>
      <c r="E24" s="4">
        <v>129084</v>
      </c>
      <c r="F24" s="4">
        <v>38850.32</v>
      </c>
      <c r="G24" s="4">
        <v>111155.77</v>
      </c>
      <c r="H24" s="4">
        <v>2948.49</v>
      </c>
      <c r="I24" s="4">
        <v>0</v>
      </c>
      <c r="J24" s="4">
        <v>1325.53</v>
      </c>
      <c r="K24" s="4">
        <v>0</v>
      </c>
      <c r="L24" s="4">
        <v>3.48</v>
      </c>
      <c r="M24" s="4">
        <v>5191.6400000000003</v>
      </c>
      <c r="N24" s="4">
        <v>38643.25</v>
      </c>
      <c r="O24" s="4">
        <v>0</v>
      </c>
      <c r="P24" s="4">
        <v>0</v>
      </c>
      <c r="Q24" s="4">
        <v>0</v>
      </c>
      <c r="R24" s="4">
        <v>0</v>
      </c>
      <c r="S24" s="4">
        <v>57835.07</v>
      </c>
      <c r="T24" s="4">
        <v>0</v>
      </c>
      <c r="U24" s="4">
        <v>0</v>
      </c>
      <c r="V24" s="4">
        <v>0</v>
      </c>
      <c r="W24" s="4">
        <v>0</v>
      </c>
      <c r="X24" s="4">
        <v>23548.91</v>
      </c>
      <c r="Y24" s="4">
        <v>380.29</v>
      </c>
      <c r="Z24" s="4">
        <v>229</v>
      </c>
      <c r="AA24" s="4">
        <f>744+573</f>
        <v>1317</v>
      </c>
      <c r="AB24" s="4">
        <v>81071.47</v>
      </c>
      <c r="AC24" s="4">
        <v>0</v>
      </c>
      <c r="AD24" s="4">
        <v>797.35</v>
      </c>
      <c r="AE24" s="4">
        <v>4890.18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1195751.3400000001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316.77</v>
      </c>
      <c r="AV24" s="4">
        <v>0</v>
      </c>
      <c r="AW24" s="4">
        <v>740.7</v>
      </c>
      <c r="AX24" s="4">
        <v>105214.25</v>
      </c>
      <c r="AY24" s="4">
        <v>0</v>
      </c>
      <c r="AZ24" s="4">
        <v>4627250.5599999996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1741.94</v>
      </c>
      <c r="BG24" s="4">
        <v>0</v>
      </c>
      <c r="BH24" s="4">
        <v>0</v>
      </c>
      <c r="BI24" s="4">
        <v>0</v>
      </c>
      <c r="BJ24" s="4">
        <v>216</v>
      </c>
      <c r="BK24" s="4">
        <v>0</v>
      </c>
      <c r="BL24" s="4">
        <v>35</v>
      </c>
      <c r="BM24" s="4">
        <f t="shared" si="0"/>
        <v>6567206.6699999999</v>
      </c>
      <c r="BN24" s="4">
        <f>7904377.31-1337170.64</f>
        <v>6567206.6699999999</v>
      </c>
      <c r="BO24" s="4">
        <f t="shared" si="1"/>
        <v>0</v>
      </c>
      <c r="BP24" s="4">
        <v>1377170.64</v>
      </c>
      <c r="BQ24" s="4"/>
      <c r="BR24" s="4"/>
      <c r="BS24" s="7"/>
      <c r="BT24" s="4">
        <f t="shared" si="15"/>
        <v>383104.69</v>
      </c>
      <c r="BU24" s="9">
        <f t="shared" si="16"/>
        <v>168251.09</v>
      </c>
      <c r="BV24" s="9">
        <f t="shared" si="17"/>
        <v>1195751.3400000001</v>
      </c>
      <c r="BW24" s="9">
        <f t="shared" si="2"/>
        <v>191107.05</v>
      </c>
      <c r="BX24" s="9">
        <f t="shared" si="3"/>
        <v>0</v>
      </c>
      <c r="BY24" s="9">
        <f t="shared" si="4"/>
        <v>4628992.5</v>
      </c>
      <c r="BZ24" s="9">
        <f t="shared" si="18"/>
        <v>6567206.6699999999</v>
      </c>
      <c r="CA24" s="9">
        <f t="shared" si="5"/>
        <v>0</v>
      </c>
      <c r="CB24" s="7"/>
      <c r="CC24" s="4">
        <f>800+25740.87</f>
        <v>26540.87</v>
      </c>
      <c r="CD24" s="4"/>
      <c r="CE24" s="4"/>
      <c r="CF24" s="4">
        <f t="shared" si="29"/>
        <v>26540.87</v>
      </c>
      <c r="CG24" s="4">
        <f t="shared" si="26"/>
        <v>0</v>
      </c>
      <c r="CH24" s="4">
        <v>5463536.46</v>
      </c>
      <c r="CI24" s="4"/>
      <c r="CJ24" s="4">
        <v>1424823.57</v>
      </c>
      <c r="CK24" s="4">
        <v>19338.45</v>
      </c>
      <c r="CL24" s="4">
        <v>4019374.44</v>
      </c>
      <c r="CM24" s="4">
        <f t="shared" si="27"/>
        <v>0</v>
      </c>
      <c r="CN24" s="4">
        <v>72951.97</v>
      </c>
      <c r="CO24" s="4">
        <v>24334.31</v>
      </c>
      <c r="CP24" s="4">
        <v>362924.01</v>
      </c>
      <c r="CQ24" s="4">
        <v>33470.75</v>
      </c>
      <c r="CR24" s="4">
        <v>0</v>
      </c>
      <c r="CS24" s="4">
        <v>0</v>
      </c>
      <c r="CT24" s="4">
        <v>0</v>
      </c>
      <c r="CU24" s="4">
        <v>59399.11</v>
      </c>
      <c r="CV24" s="4">
        <v>0</v>
      </c>
      <c r="CW24" s="4">
        <f>371773.54+2000+9989.52+4103.51</f>
        <v>387866.57</v>
      </c>
      <c r="CX24" s="4">
        <v>0</v>
      </c>
      <c r="CY24" s="4">
        <v>15143.24</v>
      </c>
      <c r="CZ24" s="4">
        <v>7962</v>
      </c>
      <c r="DA24" s="4">
        <v>5000</v>
      </c>
      <c r="DB24" s="4">
        <v>3038.57</v>
      </c>
      <c r="DC24" s="4">
        <v>17800</v>
      </c>
      <c r="DD24" s="4">
        <v>1125.5</v>
      </c>
      <c r="DE24" s="4">
        <v>0</v>
      </c>
      <c r="DF24" s="4">
        <v>3753.05</v>
      </c>
      <c r="DG24" s="4">
        <v>2475</v>
      </c>
      <c r="DH24" s="4">
        <v>0</v>
      </c>
      <c r="DI24" s="4">
        <v>0</v>
      </c>
      <c r="DJ24" s="4">
        <v>0</v>
      </c>
      <c r="DK24" s="4">
        <v>12276.14</v>
      </c>
      <c r="DL24" s="4">
        <v>0</v>
      </c>
      <c r="DM24" s="4">
        <v>2917</v>
      </c>
      <c r="DN24" s="4">
        <v>517500</v>
      </c>
      <c r="DO24" s="4">
        <v>163930.57</v>
      </c>
      <c r="DP24" s="4"/>
      <c r="DQ24" s="4"/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/>
      <c r="DX24" s="4">
        <f>20856.57</f>
        <v>20856.57</v>
      </c>
      <c r="DY24" s="4">
        <v>5000</v>
      </c>
      <c r="DZ24" s="4">
        <v>31475.4</v>
      </c>
      <c r="EA24" s="4">
        <v>0</v>
      </c>
      <c r="EB24" s="4">
        <v>15000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822.68</v>
      </c>
      <c r="EM24" s="4">
        <v>3248.93</v>
      </c>
      <c r="EN24" s="4">
        <v>18772.240000000002</v>
      </c>
      <c r="EO24" s="4">
        <f t="shared" si="28"/>
        <v>7279120.9399999995</v>
      </c>
      <c r="EP24" s="4">
        <v>7279120.9399999995</v>
      </c>
      <c r="EQ24" s="4">
        <f t="shared" si="30"/>
        <v>0</v>
      </c>
      <c r="ER24" s="4">
        <v>625256.37</v>
      </c>
      <c r="ES24" s="4"/>
      <c r="ET24" s="4"/>
      <c r="EU24" s="7"/>
      <c r="EV24" s="4">
        <f t="shared" si="20"/>
        <v>517500</v>
      </c>
      <c r="EW24" s="4">
        <f t="shared" si="21"/>
        <v>0</v>
      </c>
      <c r="EX24" s="4">
        <f t="shared" si="22"/>
        <v>1608092.59</v>
      </c>
      <c r="EY24" s="4">
        <f t="shared" si="23"/>
        <v>4209134.3000000007</v>
      </c>
      <c r="EZ24" s="4">
        <f t="shared" si="24"/>
        <v>944394.05</v>
      </c>
      <c r="FA24" s="13">
        <v>0</v>
      </c>
      <c r="FB24" s="13">
        <f t="shared" si="9"/>
        <v>7279120.9400000004</v>
      </c>
      <c r="FC24" s="13">
        <f t="shared" si="10"/>
        <v>0</v>
      </c>
      <c r="FD24" s="12"/>
      <c r="FE24" s="13">
        <f t="shared" si="11"/>
        <v>1938214.1700000002</v>
      </c>
      <c r="FF24" s="13">
        <f t="shared" si="12"/>
        <v>6761620.9400000004</v>
      </c>
      <c r="FG24" s="13">
        <f t="shared" si="13"/>
        <v>-4823406.7700000005</v>
      </c>
      <c r="FH24" s="13">
        <f t="shared" si="14"/>
        <v>-3215314.1800000006</v>
      </c>
    </row>
    <row r="25" spans="1:164" x14ac:dyDescent="0.35">
      <c r="A25">
        <v>1841</v>
      </c>
      <c r="B25" s="4">
        <v>23859.86</v>
      </c>
      <c r="C25" s="4">
        <v>12600</v>
      </c>
      <c r="D25" s="4">
        <v>77022.149999999994</v>
      </c>
      <c r="E25" s="4">
        <v>118091.9</v>
      </c>
      <c r="F25" s="4">
        <f>5334.3+25021.42</f>
        <v>30355.719999999998</v>
      </c>
      <c r="G25" s="4">
        <v>96921.61</v>
      </c>
      <c r="H25" s="4">
        <v>180.31</v>
      </c>
      <c r="I25" s="4">
        <v>0</v>
      </c>
      <c r="J25" s="4">
        <v>0</v>
      </c>
      <c r="K25" s="4">
        <v>37333.919999999998</v>
      </c>
      <c r="L25" s="4">
        <f>61.87+33292.77</f>
        <v>33354.639999999999</v>
      </c>
      <c r="M25" s="4">
        <v>6419</v>
      </c>
      <c r="N25" s="4">
        <v>28571.62</v>
      </c>
      <c r="O25" s="4">
        <v>0</v>
      </c>
      <c r="P25" s="4">
        <v>0</v>
      </c>
      <c r="Q25" s="4">
        <v>0</v>
      </c>
      <c r="R25" s="4">
        <v>0</v>
      </c>
      <c r="S25" s="4">
        <v>48225.29</v>
      </c>
      <c r="T25" s="4">
        <v>0</v>
      </c>
      <c r="U25" s="4">
        <v>0</v>
      </c>
      <c r="V25" s="4">
        <v>0</v>
      </c>
      <c r="W25" s="4">
        <v>0</v>
      </c>
      <c r="X25" s="4">
        <v>21591.43</v>
      </c>
      <c r="Y25" s="4">
        <v>223.32</v>
      </c>
      <c r="Z25" s="4">
        <v>446.58</v>
      </c>
      <c r="AA25" s="4">
        <v>825.66</v>
      </c>
      <c r="AB25" s="4">
        <v>72091.72</v>
      </c>
      <c r="AC25" s="4">
        <v>0</v>
      </c>
      <c r="AD25" s="4">
        <v>567</v>
      </c>
      <c r="AE25" s="4">
        <v>3434.34</v>
      </c>
      <c r="AF25" s="4">
        <v>5088.5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336.64</v>
      </c>
      <c r="AM25" s="4">
        <v>1055394.6000000001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798.79</v>
      </c>
      <c r="AU25" s="4">
        <v>0</v>
      </c>
      <c r="AV25" s="4">
        <v>0</v>
      </c>
      <c r="AW25" s="4">
        <v>531.67999999999995</v>
      </c>
      <c r="AX25" s="4">
        <v>714.28</v>
      </c>
      <c r="AY25" s="4">
        <v>0</v>
      </c>
      <c r="AZ25" s="4">
        <v>3704911.96</v>
      </c>
      <c r="BA25" s="4">
        <v>37.5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852.21</v>
      </c>
      <c r="BM25" s="4">
        <f t="shared" si="0"/>
        <v>5380782.2299999995</v>
      </c>
      <c r="BN25" s="4">
        <v>5380782.2300000004</v>
      </c>
      <c r="BO25" s="4">
        <f t="shared" si="1"/>
        <v>0</v>
      </c>
      <c r="BP25" s="4">
        <v>625256.17000000004</v>
      </c>
      <c r="BQ25" s="4"/>
      <c r="BR25" s="4"/>
      <c r="BS25" s="7"/>
      <c r="BT25" s="4">
        <f t="shared" si="15"/>
        <v>410372.39999999997</v>
      </c>
      <c r="BU25" s="9">
        <f t="shared" si="16"/>
        <v>149246.41</v>
      </c>
      <c r="BV25" s="9">
        <f t="shared" si="17"/>
        <v>1055394.6000000001</v>
      </c>
      <c r="BW25" s="9">
        <f t="shared" si="2"/>
        <v>60819.360000000001</v>
      </c>
      <c r="BX25" s="9">
        <f t="shared" si="3"/>
        <v>0</v>
      </c>
      <c r="BY25" s="9">
        <f t="shared" si="4"/>
        <v>3704949.46</v>
      </c>
      <c r="BZ25" s="9">
        <f t="shared" si="18"/>
        <v>5380782.2300000004</v>
      </c>
      <c r="CA25" s="9">
        <f t="shared" si="5"/>
        <v>0</v>
      </c>
      <c r="CB25" s="7"/>
      <c r="CC25" s="4">
        <v>0</v>
      </c>
      <c r="CD25" s="4"/>
      <c r="CE25" s="4"/>
      <c r="CF25" s="4">
        <f t="shared" si="29"/>
        <v>0</v>
      </c>
      <c r="CG25" s="4">
        <f t="shared" si="26"/>
        <v>0</v>
      </c>
      <c r="CH25" s="4">
        <v>3135659.2</v>
      </c>
      <c r="CI25" s="4"/>
      <c r="CJ25" s="4">
        <v>1642762.17</v>
      </c>
      <c r="CK25" s="4"/>
      <c r="CL25" s="4">
        <v>1492897.03</v>
      </c>
      <c r="CM25" s="4">
        <f t="shared" si="27"/>
        <v>0</v>
      </c>
      <c r="CN25" s="4">
        <v>107547.17</v>
      </c>
      <c r="CO25" s="4">
        <v>12700</v>
      </c>
      <c r="CP25" s="4">
        <v>304927.31</v>
      </c>
      <c r="CQ25" s="4">
        <v>33031.71</v>
      </c>
      <c r="CR25" s="4">
        <v>0</v>
      </c>
      <c r="CS25" s="4">
        <v>0</v>
      </c>
      <c r="CT25" s="4">
        <v>0</v>
      </c>
      <c r="CU25" s="4">
        <v>49407.34</v>
      </c>
      <c r="CV25" s="4">
        <v>0</v>
      </c>
      <c r="CW25" s="4">
        <v>365766.04</v>
      </c>
      <c r="CX25" s="4">
        <v>0</v>
      </c>
      <c r="CY25" s="4">
        <v>16004.58</v>
      </c>
      <c r="CZ25" s="4">
        <v>7967</v>
      </c>
      <c r="DA25" s="4">
        <v>5000</v>
      </c>
      <c r="DB25" s="4">
        <v>3246.48</v>
      </c>
      <c r="DC25" s="4">
        <v>12674.93</v>
      </c>
      <c r="DD25" s="4">
        <v>1155.49</v>
      </c>
      <c r="DE25" s="4">
        <v>423.62</v>
      </c>
      <c r="DF25" s="4">
        <v>1493.3</v>
      </c>
      <c r="DG25" s="4">
        <v>0</v>
      </c>
      <c r="DH25" s="4">
        <v>0</v>
      </c>
      <c r="DI25" s="4">
        <v>0</v>
      </c>
      <c r="DJ25" s="4">
        <v>4625</v>
      </c>
      <c r="DK25" s="4">
        <v>0</v>
      </c>
      <c r="DL25" s="4">
        <v>7779.42</v>
      </c>
      <c r="DM25" s="4">
        <v>2525.42</v>
      </c>
      <c r="DN25" s="4">
        <v>674918.13</v>
      </c>
      <c r="DO25" s="4">
        <v>64250</v>
      </c>
      <c r="DP25" s="4"/>
      <c r="DQ25" s="4"/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42252.15</v>
      </c>
      <c r="DX25" s="4">
        <v>25686.15</v>
      </c>
      <c r="DY25" s="4">
        <v>0</v>
      </c>
      <c r="DZ25" s="4">
        <v>1019.38</v>
      </c>
      <c r="EA25" s="4">
        <v>0</v>
      </c>
      <c r="EB25" s="4">
        <v>4000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779.74</v>
      </c>
      <c r="EM25" s="4">
        <v>4418.55</v>
      </c>
      <c r="EN25" s="4">
        <v>5896.04</v>
      </c>
      <c r="EO25" s="4">
        <f t="shared" si="28"/>
        <v>4895154.1500000004</v>
      </c>
      <c r="EP25" s="4">
        <v>4895154.1500000004</v>
      </c>
      <c r="EQ25" s="4">
        <f t="shared" si="30"/>
        <v>0</v>
      </c>
      <c r="ER25" s="4">
        <v>1110884.25</v>
      </c>
      <c r="ES25" s="4"/>
      <c r="ET25" s="4"/>
      <c r="EU25" s="7"/>
      <c r="EV25" s="4">
        <f t="shared" si="20"/>
        <v>674918.13</v>
      </c>
      <c r="EW25" s="4">
        <f t="shared" si="21"/>
        <v>0</v>
      </c>
      <c r="EX25" s="4">
        <f t="shared" si="22"/>
        <v>1707012.17</v>
      </c>
      <c r="EY25" s="4">
        <f t="shared" si="23"/>
        <v>1710161.8499999996</v>
      </c>
      <c r="EZ25" s="4">
        <f t="shared" si="24"/>
        <v>803062</v>
      </c>
      <c r="FA25" s="13">
        <v>0</v>
      </c>
      <c r="FB25" s="13">
        <f t="shared" si="9"/>
        <v>4895154.1499999994</v>
      </c>
      <c r="FC25" s="13">
        <f t="shared" si="10"/>
        <v>0</v>
      </c>
      <c r="FD25" s="12"/>
      <c r="FE25" s="13">
        <f t="shared" si="11"/>
        <v>1675832.7700000003</v>
      </c>
      <c r="FF25" s="13">
        <f t="shared" si="12"/>
        <v>4220236.0199999996</v>
      </c>
      <c r="FG25" s="13">
        <f t="shared" si="13"/>
        <v>-2544403.2499999991</v>
      </c>
      <c r="FH25" s="13">
        <f t="shared" si="14"/>
        <v>-837391.07999999938</v>
      </c>
    </row>
    <row r="26" spans="1:164" x14ac:dyDescent="0.35">
      <c r="A26">
        <v>1842</v>
      </c>
      <c r="B26" s="4">
        <v>21846.85</v>
      </c>
      <c r="C26" s="4">
        <v>19895</v>
      </c>
      <c r="D26" s="4">
        <v>57392.38</v>
      </c>
      <c r="E26" s="4">
        <v>3600</v>
      </c>
      <c r="F26" s="4">
        <f>5328.15+26850.64</f>
        <v>32178.79</v>
      </c>
      <c r="G26" s="4">
        <v>44950.5</v>
      </c>
      <c r="H26" s="4">
        <v>102.71</v>
      </c>
      <c r="I26" s="4">
        <v>0</v>
      </c>
      <c r="J26" s="4">
        <v>0</v>
      </c>
      <c r="K26" s="4">
        <v>37058.29</v>
      </c>
      <c r="L26" s="4">
        <v>486635.85</v>
      </c>
      <c r="M26" s="4">
        <v>6254.68</v>
      </c>
      <c r="N26" s="4">
        <v>37652.76</v>
      </c>
      <c r="O26" s="4">
        <v>1575.97</v>
      </c>
      <c r="P26" s="4">
        <v>0</v>
      </c>
      <c r="Q26" s="4">
        <v>0</v>
      </c>
      <c r="R26" s="4">
        <v>0</v>
      </c>
      <c r="S26" s="4">
        <v>50275.59</v>
      </c>
      <c r="T26" s="4">
        <v>0</v>
      </c>
      <c r="U26" s="4">
        <v>0</v>
      </c>
      <c r="V26" s="4">
        <v>0</v>
      </c>
      <c r="W26" s="4">
        <v>0</v>
      </c>
      <c r="X26" s="4">
        <v>38717.440000000002</v>
      </c>
      <c r="Y26" s="4">
        <v>263.11</v>
      </c>
      <c r="Z26" s="4">
        <v>13.3</v>
      </c>
      <c r="AA26" s="4">
        <v>382.77</v>
      </c>
      <c r="AB26" s="4">
        <v>84178.57</v>
      </c>
      <c r="AC26" s="4">
        <v>0</v>
      </c>
      <c r="AD26" s="4">
        <v>338.5</v>
      </c>
      <c r="AE26" s="4">
        <v>1527.98</v>
      </c>
      <c r="AF26" s="4">
        <v>5482.97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1225.46</v>
      </c>
      <c r="AM26" s="4">
        <v>907093.12</v>
      </c>
      <c r="AN26" s="4">
        <v>0</v>
      </c>
      <c r="AO26" s="4">
        <v>0</v>
      </c>
      <c r="AP26" s="4">
        <v>0</v>
      </c>
      <c r="AQ26" s="4">
        <v>1817.97</v>
      </c>
      <c r="AR26" s="4">
        <v>0</v>
      </c>
      <c r="AS26" s="4">
        <v>0</v>
      </c>
      <c r="AT26" s="4">
        <v>890.6</v>
      </c>
      <c r="AU26" s="4">
        <v>0</v>
      </c>
      <c r="AV26" s="4">
        <v>0</v>
      </c>
      <c r="AW26" s="4">
        <v>13.54</v>
      </c>
      <c r="AX26" s="4">
        <v>0</v>
      </c>
      <c r="AY26" s="4">
        <v>0</v>
      </c>
      <c r="AZ26" s="4">
        <v>934764.83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f>55+4423.87</f>
        <v>4478.87</v>
      </c>
      <c r="BM26" s="4">
        <f t="shared" ref="BM26:BM44" si="31">SUM(B26:BL26)</f>
        <v>2780608.4</v>
      </c>
      <c r="BN26" s="4">
        <v>2780608.4</v>
      </c>
      <c r="BO26" s="4">
        <f t="shared" si="1"/>
        <v>0</v>
      </c>
      <c r="BP26" s="4">
        <v>1109932.24</v>
      </c>
      <c r="BQ26" s="4"/>
      <c r="BR26" s="4"/>
      <c r="BS26" s="7"/>
      <c r="BT26" s="4">
        <f t="shared" si="15"/>
        <v>815034.98</v>
      </c>
      <c r="BU26" s="9">
        <f t="shared" si="16"/>
        <v>36669.39</v>
      </c>
      <c r="BV26" s="9">
        <f t="shared" si="17"/>
        <v>908911.09</v>
      </c>
      <c r="BW26" s="9">
        <f t="shared" si="2"/>
        <v>85228.11</v>
      </c>
      <c r="BX26" s="9">
        <f t="shared" si="3"/>
        <v>0</v>
      </c>
      <c r="BY26" s="9">
        <f t="shared" si="4"/>
        <v>934764.83</v>
      </c>
      <c r="BZ26" s="9">
        <f t="shared" si="18"/>
        <v>2780608.4</v>
      </c>
      <c r="CA26" s="9">
        <f t="shared" si="5"/>
        <v>0</v>
      </c>
      <c r="CB26" s="7"/>
      <c r="CC26" s="4">
        <v>0</v>
      </c>
      <c r="CD26" s="4"/>
      <c r="CE26" s="4"/>
      <c r="CF26" s="4">
        <f t="shared" si="29"/>
        <v>0</v>
      </c>
      <c r="CG26" s="4">
        <f t="shared" si="26"/>
        <v>0</v>
      </c>
      <c r="CH26" s="4">
        <v>1987353.29</v>
      </c>
      <c r="CI26" s="4"/>
      <c r="CJ26" s="4">
        <v>836981.13</v>
      </c>
      <c r="CK26" s="4">
        <v>33549.949999999997</v>
      </c>
      <c r="CL26" s="4">
        <v>1111402.1200000001</v>
      </c>
      <c r="CM26" s="4">
        <f t="shared" si="27"/>
        <v>5420.0900000000838</v>
      </c>
      <c r="CN26" s="4">
        <v>30105.86</v>
      </c>
      <c r="CO26" s="4">
        <v>1600</v>
      </c>
      <c r="CP26" s="4">
        <v>329337.61</v>
      </c>
      <c r="CQ26" s="4">
        <v>33164.94</v>
      </c>
      <c r="CR26" s="4">
        <v>0</v>
      </c>
      <c r="CS26" s="4">
        <v>0</v>
      </c>
      <c r="CT26" s="4">
        <v>0</v>
      </c>
      <c r="CU26" s="4">
        <v>44151.66</v>
      </c>
      <c r="CV26" s="4">
        <v>0</v>
      </c>
      <c r="CW26" s="4">
        <v>315372.43</v>
      </c>
      <c r="CX26" s="4">
        <v>0</v>
      </c>
      <c r="CY26" s="4">
        <v>14506</v>
      </c>
      <c r="CZ26" s="4">
        <v>8515</v>
      </c>
      <c r="DA26" s="4">
        <v>5000</v>
      </c>
      <c r="DB26" s="4">
        <v>2751.58</v>
      </c>
      <c r="DC26" s="4">
        <v>5541.67</v>
      </c>
      <c r="DD26" s="4">
        <v>908.62</v>
      </c>
      <c r="DE26" s="4">
        <v>1366.64</v>
      </c>
      <c r="DF26" s="4">
        <v>982.25</v>
      </c>
      <c r="DG26" s="4">
        <v>0</v>
      </c>
      <c r="DH26" s="4">
        <v>0</v>
      </c>
      <c r="DI26" s="4">
        <v>0</v>
      </c>
      <c r="DJ26" s="4">
        <v>0</v>
      </c>
      <c r="DK26" s="4">
        <v>2340.02</v>
      </c>
      <c r="DL26" s="4">
        <v>5007.62</v>
      </c>
      <c r="DM26" s="4">
        <v>2357.7399999999998</v>
      </c>
      <c r="DN26" s="4">
        <v>221394.33</v>
      </c>
      <c r="DO26" s="4">
        <v>44767.79</v>
      </c>
      <c r="DP26" s="4"/>
      <c r="DQ26" s="4"/>
      <c r="DR26" s="4">
        <v>0</v>
      </c>
      <c r="DS26" s="4">
        <v>209589.43</v>
      </c>
      <c r="DT26" s="4">
        <v>0</v>
      </c>
      <c r="DU26" s="4">
        <v>0</v>
      </c>
      <c r="DV26" s="4">
        <v>0</v>
      </c>
      <c r="DW26" s="4"/>
      <c r="DX26" s="4">
        <f>27747.85+27984.48</f>
        <v>55732.33</v>
      </c>
      <c r="DY26" s="4">
        <v>0</v>
      </c>
      <c r="DZ26" s="4">
        <v>62.66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209.88</v>
      </c>
      <c r="EM26" s="4">
        <v>6716.77</v>
      </c>
      <c r="EN26" s="4">
        <v>7523.39</v>
      </c>
      <c r="EO26" s="4">
        <f t="shared" si="28"/>
        <v>3336359.51</v>
      </c>
      <c r="EP26" s="4">
        <v>3336359.51</v>
      </c>
      <c r="EQ26" s="4">
        <f t="shared" si="30"/>
        <v>0</v>
      </c>
      <c r="ER26" s="4">
        <v>554181.13</v>
      </c>
      <c r="ES26" s="4"/>
      <c r="ET26" s="4"/>
      <c r="EU26" s="7"/>
      <c r="EV26" s="4">
        <f t="shared" si="20"/>
        <v>430983.76</v>
      </c>
      <c r="EW26" s="4">
        <f t="shared" si="21"/>
        <v>0</v>
      </c>
      <c r="EX26" s="4">
        <f t="shared" si="22"/>
        <v>915298.87</v>
      </c>
      <c r="EY26" s="4">
        <f t="shared" si="23"/>
        <v>1217149.7100000004</v>
      </c>
      <c r="EZ26" s="4">
        <f t="shared" si="24"/>
        <v>772927.16999999993</v>
      </c>
      <c r="FA26" s="13">
        <v>0</v>
      </c>
      <c r="FB26" s="13">
        <f t="shared" si="9"/>
        <v>3336359.5100000002</v>
      </c>
      <c r="FC26" s="13">
        <f t="shared" si="10"/>
        <v>0</v>
      </c>
      <c r="FD26" s="12"/>
      <c r="FE26" s="13">
        <f t="shared" si="11"/>
        <v>1845843.57</v>
      </c>
      <c r="FF26" s="13">
        <f t="shared" si="12"/>
        <v>2905375.7500000005</v>
      </c>
      <c r="FG26" s="13">
        <f t="shared" si="13"/>
        <v>-1059532.1800000004</v>
      </c>
      <c r="FH26" s="13">
        <f t="shared" si="14"/>
        <v>-144233.31000000029</v>
      </c>
    </row>
    <row r="27" spans="1:164" x14ac:dyDescent="0.35">
      <c r="A27">
        <v>1843</v>
      </c>
      <c r="B27" s="4">
        <v>8254.0300000000007</v>
      </c>
      <c r="C27" s="4">
        <v>29310.5</v>
      </c>
      <c r="D27" s="4">
        <v>59661.98</v>
      </c>
      <c r="E27" s="4">
        <v>0</v>
      </c>
      <c r="F27" s="4">
        <v>19161.29</v>
      </c>
      <c r="G27" s="4">
        <v>25529.759999999998</v>
      </c>
      <c r="H27" s="4">
        <v>540.67999999999995</v>
      </c>
      <c r="I27" s="4">
        <v>1658.94</v>
      </c>
      <c r="J27" s="4">
        <v>0</v>
      </c>
      <c r="K27" s="4">
        <v>38510.79</v>
      </c>
      <c r="L27" s="4">
        <v>553911.38</v>
      </c>
      <c r="M27" s="4">
        <v>3688.12</v>
      </c>
      <c r="N27" s="4">
        <v>37769.86</v>
      </c>
      <c r="O27" s="4">
        <v>1386.05</v>
      </c>
      <c r="P27" s="4">
        <v>0</v>
      </c>
      <c r="Q27" s="4">
        <v>0</v>
      </c>
      <c r="R27" s="4">
        <v>0</v>
      </c>
      <c r="S27" s="4">
        <v>47090.1</v>
      </c>
      <c r="T27" s="4">
        <v>0</v>
      </c>
      <c r="U27" s="4">
        <v>0</v>
      </c>
      <c r="V27" s="4">
        <v>0</v>
      </c>
      <c r="W27" s="4">
        <v>0</v>
      </c>
      <c r="X27" s="4">
        <v>22337.05</v>
      </c>
      <c r="Y27" s="4">
        <v>310.25</v>
      </c>
      <c r="Z27" s="4">
        <v>11.4</v>
      </c>
      <c r="AA27" s="4">
        <f>38.85+303.37</f>
        <v>342.22</v>
      </c>
      <c r="AB27" s="4">
        <v>63857.24</v>
      </c>
      <c r="AC27" s="4">
        <v>0</v>
      </c>
      <c r="AD27" s="4">
        <v>157</v>
      </c>
      <c r="AE27" s="4">
        <v>1393.87</v>
      </c>
      <c r="AF27" s="4">
        <v>7452.13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1010</v>
      </c>
      <c r="AM27" s="4">
        <v>1019401.15</v>
      </c>
      <c r="AN27" s="4">
        <v>0</v>
      </c>
      <c r="AO27" s="4">
        <v>0</v>
      </c>
      <c r="AP27" s="4">
        <v>0</v>
      </c>
      <c r="AQ27" s="4">
        <v>1083.54</v>
      </c>
      <c r="AR27" s="4">
        <v>0</v>
      </c>
      <c r="AS27" s="4">
        <v>60313.27</v>
      </c>
      <c r="AT27" s="4">
        <v>2427.2399999999998</v>
      </c>
      <c r="AU27" s="4">
        <v>0</v>
      </c>
      <c r="AV27" s="4">
        <v>0</v>
      </c>
      <c r="AW27" s="4">
        <v>0</v>
      </c>
      <c r="AX27" s="4">
        <v>1900</v>
      </c>
      <c r="AY27" s="4">
        <v>0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1395411.84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f>427.41+25</f>
        <v>452.41</v>
      </c>
      <c r="BM27" s="4">
        <f t="shared" si="31"/>
        <v>3404434.0900000003</v>
      </c>
      <c r="BN27" s="4">
        <v>3404434.09</v>
      </c>
      <c r="BO27" s="4">
        <f t="shared" si="1"/>
        <v>0</v>
      </c>
      <c r="BP27" s="4">
        <v>554181.13</v>
      </c>
      <c r="BQ27" s="4"/>
      <c r="BR27" s="4"/>
      <c r="BS27" s="7"/>
      <c r="BT27" s="4">
        <f t="shared" si="15"/>
        <v>842301.17999999993</v>
      </c>
      <c r="BU27" s="9">
        <f t="shared" si="16"/>
        <v>21588.53</v>
      </c>
      <c r="BV27" s="9">
        <f t="shared" si="17"/>
        <v>1020484.6900000001</v>
      </c>
      <c r="BW27" s="9">
        <f t="shared" si="2"/>
        <v>64234.580000000009</v>
      </c>
      <c r="BX27" s="9">
        <f t="shared" si="3"/>
        <v>60313.27</v>
      </c>
      <c r="BY27" s="9">
        <f t="shared" si="4"/>
        <v>1395511.84</v>
      </c>
      <c r="BZ27" s="9">
        <f t="shared" si="18"/>
        <v>3404434.09</v>
      </c>
      <c r="CA27" s="9">
        <f t="shared" si="5"/>
        <v>0</v>
      </c>
      <c r="CB27" s="7"/>
      <c r="CC27" s="4">
        <v>0</v>
      </c>
      <c r="CD27" s="4"/>
      <c r="CE27" s="4"/>
      <c r="CF27" s="4">
        <f t="shared" si="29"/>
        <v>0</v>
      </c>
      <c r="CG27" s="4">
        <f t="shared" si="26"/>
        <v>0</v>
      </c>
      <c r="CH27" s="4">
        <v>747263.92</v>
      </c>
      <c r="CI27" s="4"/>
      <c r="CJ27" s="4"/>
      <c r="CK27" s="4"/>
      <c r="CL27" s="4">
        <v>747264.52</v>
      </c>
      <c r="CM27" s="4">
        <f t="shared" si="27"/>
        <v>-0.59999999997671694</v>
      </c>
      <c r="CN27" s="4">
        <v>2351.63</v>
      </c>
      <c r="CO27" s="4">
        <v>0</v>
      </c>
      <c r="CP27" s="4">
        <v>295480.74</v>
      </c>
      <c r="CQ27" s="4">
        <v>42448.59</v>
      </c>
      <c r="CR27" s="4">
        <v>0</v>
      </c>
      <c r="CS27" s="4">
        <v>0</v>
      </c>
      <c r="CT27" s="4">
        <v>0</v>
      </c>
      <c r="CU27" s="4">
        <v>46007.76</v>
      </c>
      <c r="CV27" s="4">
        <v>0</v>
      </c>
      <c r="CW27" s="4">
        <v>408694.36</v>
      </c>
      <c r="CX27" s="4">
        <v>0</v>
      </c>
      <c r="CY27" s="4">
        <v>16204.48</v>
      </c>
      <c r="CZ27" s="4">
        <v>9767.58</v>
      </c>
      <c r="DA27" s="4">
        <v>5000</v>
      </c>
      <c r="DB27" s="4">
        <v>1984.75</v>
      </c>
      <c r="DC27" s="4">
        <v>1250</v>
      </c>
      <c r="DD27" s="4">
        <v>0</v>
      </c>
      <c r="DE27" s="4">
        <v>809.42</v>
      </c>
      <c r="DF27" s="4">
        <v>58.5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f>225.82+993.95</f>
        <v>1219.77</v>
      </c>
      <c r="DM27" s="4">
        <v>3341.87</v>
      </c>
      <c r="DN27" s="4">
        <v>82717.34</v>
      </c>
      <c r="DO27" s="4">
        <v>52328.83</v>
      </c>
      <c r="DP27" s="4"/>
      <c r="DQ27" s="4"/>
      <c r="DR27" s="4">
        <v>0</v>
      </c>
      <c r="DS27" s="4">
        <v>1261236.78</v>
      </c>
      <c r="DT27" s="4">
        <v>0</v>
      </c>
      <c r="DU27" s="4">
        <v>0</v>
      </c>
      <c r="DV27" s="4">
        <v>0</v>
      </c>
      <c r="DW27" s="4"/>
      <c r="DX27" s="4">
        <v>0</v>
      </c>
      <c r="DY27" s="4">
        <v>0</v>
      </c>
      <c r="DZ27" s="4">
        <v>25.89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508000</v>
      </c>
      <c r="EK27" s="4">
        <v>0</v>
      </c>
      <c r="EL27" s="4">
        <v>912.85</v>
      </c>
      <c r="EM27" s="4">
        <v>3425.76</v>
      </c>
      <c r="EN27" s="4">
        <f>8607.68+5.5</f>
        <v>8613.18</v>
      </c>
      <c r="EO27" s="4">
        <f t="shared" si="28"/>
        <v>3499144</v>
      </c>
      <c r="EP27" s="4">
        <f>3958615.5-ER27</f>
        <v>3499144</v>
      </c>
      <c r="EQ27" s="4">
        <f t="shared" si="30"/>
        <v>0</v>
      </c>
      <c r="ER27" s="4">
        <v>459471.5</v>
      </c>
      <c r="ES27" s="4"/>
      <c r="ET27" s="4"/>
      <c r="EU27" s="7"/>
      <c r="EV27" s="4">
        <f t="shared" si="20"/>
        <v>1851954.12</v>
      </c>
      <c r="EW27" s="4">
        <f t="shared" si="21"/>
        <v>0</v>
      </c>
      <c r="EX27" s="4">
        <f t="shared" si="22"/>
        <v>52328.83</v>
      </c>
      <c r="EY27" s="4">
        <f t="shared" si="23"/>
        <v>752085.32000000007</v>
      </c>
      <c r="EZ27" s="4">
        <f t="shared" si="24"/>
        <v>842775.73</v>
      </c>
      <c r="FA27" s="13">
        <v>0</v>
      </c>
      <c r="FB27" s="13">
        <f t="shared" si="9"/>
        <v>3499144.0000000005</v>
      </c>
      <c r="FC27" s="13">
        <f t="shared" si="10"/>
        <v>0</v>
      </c>
      <c r="FD27" s="12"/>
      <c r="FE27" s="13">
        <f t="shared" si="11"/>
        <v>2008922.25</v>
      </c>
      <c r="FF27" s="13">
        <f t="shared" si="12"/>
        <v>1647189.88</v>
      </c>
      <c r="FG27" s="13">
        <f t="shared" si="13"/>
        <v>361732.37000000011</v>
      </c>
      <c r="FH27" s="13">
        <f t="shared" si="14"/>
        <v>414061.20000000019</v>
      </c>
    </row>
    <row r="28" spans="1:164" x14ac:dyDescent="0.35">
      <c r="A28">
        <v>1844</v>
      </c>
      <c r="B28" s="4">
        <v>12027.27</v>
      </c>
      <c r="C28" s="4">
        <v>24220</v>
      </c>
      <c r="D28" s="4">
        <v>68145.41</v>
      </c>
      <c r="E28" s="4">
        <v>0</v>
      </c>
      <c r="F28" s="4">
        <v>0</v>
      </c>
      <c r="G28" s="4">
        <v>46705.55</v>
      </c>
      <c r="H28" s="4">
        <v>0</v>
      </c>
      <c r="I28" s="4">
        <v>0</v>
      </c>
      <c r="J28" s="4">
        <v>0</v>
      </c>
      <c r="K28" s="4">
        <v>52379.88</v>
      </c>
      <c r="L28" s="4">
        <v>751210.01</v>
      </c>
      <c r="M28" s="4">
        <v>1833.54</v>
      </c>
      <c r="N28" s="4">
        <v>32921.879999999997</v>
      </c>
      <c r="O28" s="4">
        <v>225.7</v>
      </c>
      <c r="P28" s="4">
        <v>0</v>
      </c>
      <c r="Q28" s="4">
        <v>0</v>
      </c>
      <c r="R28" s="4">
        <v>0</v>
      </c>
      <c r="S28" s="4">
        <v>40150.94</v>
      </c>
      <c r="T28" s="4">
        <v>0</v>
      </c>
      <c r="U28" s="4">
        <v>0</v>
      </c>
      <c r="V28" s="4">
        <v>0</v>
      </c>
      <c r="W28" s="4">
        <v>0</v>
      </c>
      <c r="X28" s="4">
        <v>21631.96</v>
      </c>
      <c r="Y28" s="4">
        <v>338.34</v>
      </c>
      <c r="Z28" s="4">
        <v>1165.93</v>
      </c>
      <c r="AA28" s="4">
        <v>44.87</v>
      </c>
      <c r="AB28" s="4">
        <v>64847.75</v>
      </c>
      <c r="AC28" s="4">
        <v>0</v>
      </c>
      <c r="AD28" s="4">
        <v>0</v>
      </c>
      <c r="AE28" s="4">
        <v>1483.93</v>
      </c>
      <c r="AF28" s="4">
        <v>6460.12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500</v>
      </c>
      <c r="AM28" s="4">
        <v>1164325.8400000001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7425.68</v>
      </c>
      <c r="AT28" s="4">
        <v>650.67999999999995</v>
      </c>
      <c r="AU28" s="4">
        <v>0</v>
      </c>
      <c r="AV28" s="4">
        <v>0</v>
      </c>
      <c r="AW28" s="4">
        <v>0</v>
      </c>
      <c r="AX28" s="4">
        <v>1100</v>
      </c>
      <c r="AY28" s="4">
        <v>0</v>
      </c>
      <c r="AZ28" s="4">
        <v>26075.96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3431.28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2463.0100000000002</v>
      </c>
      <c r="BM28" s="4">
        <f t="shared" si="31"/>
        <v>2331765.5299999998</v>
      </c>
      <c r="BN28" s="4">
        <v>2331765.5299999998</v>
      </c>
      <c r="BO28" s="4">
        <f t="shared" si="1"/>
        <v>0</v>
      </c>
      <c r="BP28" s="4">
        <v>459471.5</v>
      </c>
      <c r="BQ28" s="4"/>
      <c r="BR28" s="4"/>
      <c r="BS28" s="7"/>
      <c r="BT28" s="4">
        <f t="shared" si="15"/>
        <v>1066909.5799999998</v>
      </c>
      <c r="BU28" s="9">
        <f t="shared" si="16"/>
        <v>650.67999999999995</v>
      </c>
      <c r="BV28" s="9">
        <f t="shared" si="17"/>
        <v>1164325.8400000001</v>
      </c>
      <c r="BW28" s="9">
        <f t="shared" si="2"/>
        <v>62946.51</v>
      </c>
      <c r="BX28" s="9">
        <f t="shared" si="3"/>
        <v>7425.68</v>
      </c>
      <c r="BY28" s="9">
        <f t="shared" si="4"/>
        <v>29507.239999999998</v>
      </c>
      <c r="BZ28" s="9">
        <f t="shared" si="18"/>
        <v>2331765.5299999998</v>
      </c>
      <c r="CA28" s="9">
        <f t="shared" si="5"/>
        <v>0</v>
      </c>
      <c r="CB28" s="7"/>
      <c r="CC28" s="4">
        <v>0</v>
      </c>
      <c r="CD28" s="4"/>
      <c r="CE28" s="4"/>
      <c r="CF28" s="4">
        <f t="shared" si="29"/>
        <v>0</v>
      </c>
      <c r="CG28" s="4">
        <f t="shared" si="26"/>
        <v>0</v>
      </c>
      <c r="CH28" s="4">
        <v>719126.08</v>
      </c>
      <c r="CI28" s="4"/>
      <c r="CJ28" s="4"/>
      <c r="CK28" s="4"/>
      <c r="CL28" s="4">
        <v>719126.08000000007</v>
      </c>
      <c r="CM28" s="4">
        <f t="shared" si="27"/>
        <v>0</v>
      </c>
      <c r="CN28" s="4">
        <v>0</v>
      </c>
      <c r="CO28" s="4">
        <v>0</v>
      </c>
      <c r="CP28" s="4">
        <v>254453.11</v>
      </c>
      <c r="CQ28" s="4">
        <v>19151.16</v>
      </c>
      <c r="CR28" s="4">
        <v>0</v>
      </c>
      <c r="CS28" s="4">
        <v>0</v>
      </c>
      <c r="CT28" s="4">
        <v>0</v>
      </c>
      <c r="CU28" s="4">
        <v>35369.599999999999</v>
      </c>
      <c r="CV28" s="4">
        <v>0</v>
      </c>
      <c r="CW28" s="4">
        <f>260771.3+6789.58+23356.65</f>
        <v>290917.53000000003</v>
      </c>
      <c r="CX28" s="4">
        <v>0</v>
      </c>
      <c r="CY28" s="4">
        <v>13308</v>
      </c>
      <c r="CZ28" s="4">
        <v>0</v>
      </c>
      <c r="DA28" s="4">
        <v>4000</v>
      </c>
      <c r="DB28" s="4">
        <v>600.21</v>
      </c>
      <c r="DC28" s="4">
        <v>2200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1123.56</v>
      </c>
      <c r="DL28" s="4">
        <v>3035</v>
      </c>
      <c r="DM28" s="4">
        <v>3094</v>
      </c>
      <c r="DN28" s="4">
        <v>20269.099999999999</v>
      </c>
      <c r="DO28" s="4">
        <v>50542.74</v>
      </c>
      <c r="DP28" s="4"/>
      <c r="DQ28" s="4"/>
      <c r="DR28" s="4">
        <v>0</v>
      </c>
      <c r="DS28" s="4">
        <v>95857.35</v>
      </c>
      <c r="DT28" s="4">
        <v>0</v>
      </c>
      <c r="DU28" s="4">
        <v>0</v>
      </c>
      <c r="DV28" s="4">
        <v>0</v>
      </c>
      <c r="DW28" s="4"/>
      <c r="DX28" s="4">
        <v>0</v>
      </c>
      <c r="DY28" s="4">
        <v>0</v>
      </c>
      <c r="DZ28" s="4">
        <v>0</v>
      </c>
      <c r="EA28" s="4">
        <v>0</v>
      </c>
      <c r="EB28" s="4">
        <v>52700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274087</v>
      </c>
      <c r="EK28" s="4">
        <v>0</v>
      </c>
      <c r="EL28" s="4">
        <v>0</v>
      </c>
      <c r="EM28" s="4">
        <v>0</v>
      </c>
      <c r="EN28" s="4">
        <v>7570.71</v>
      </c>
      <c r="EO28" s="4">
        <f t="shared" si="28"/>
        <v>1847405.15</v>
      </c>
      <c r="EP28" s="4">
        <v>1847385.15</v>
      </c>
      <c r="EQ28" s="4">
        <f>+EO28-EP28</f>
        <v>20</v>
      </c>
      <c r="ER28" s="4">
        <v>663851.88</v>
      </c>
      <c r="ES28" s="4"/>
      <c r="ET28" s="4">
        <v>280000</v>
      </c>
      <c r="EU28" s="7"/>
      <c r="EV28" s="4">
        <f t="shared" si="20"/>
        <v>390213.45</v>
      </c>
      <c r="EW28" s="4">
        <f t="shared" si="21"/>
        <v>0</v>
      </c>
      <c r="EX28" s="4">
        <f t="shared" si="22"/>
        <v>50542.74</v>
      </c>
      <c r="EY28" s="4">
        <v>838212.95999999985</v>
      </c>
      <c r="EZ28" s="4">
        <f t="shared" si="24"/>
        <v>628464.31999999983</v>
      </c>
      <c r="FA28" s="13">
        <v>0</v>
      </c>
      <c r="FB28" s="13">
        <f t="shared" si="9"/>
        <v>1907433.4699999997</v>
      </c>
      <c r="FC28" s="13">
        <f t="shared" si="10"/>
        <v>60028.319999999832</v>
      </c>
      <c r="FD28" s="12"/>
      <c r="FE28" s="13">
        <f t="shared" si="11"/>
        <v>2302258.2899999996</v>
      </c>
      <c r="FF28" s="13">
        <f t="shared" si="12"/>
        <v>1517220.0199999996</v>
      </c>
      <c r="FG28" s="13">
        <f t="shared" si="13"/>
        <v>785038.27</v>
      </c>
      <c r="FH28" s="13">
        <f t="shared" si="14"/>
        <v>835581.01</v>
      </c>
    </row>
    <row r="29" spans="1:164" x14ac:dyDescent="0.35">
      <c r="A29">
        <v>1845</v>
      </c>
      <c r="B29" s="4">
        <v>11778.77</v>
      </c>
      <c r="C29" s="4">
        <v>18900</v>
      </c>
      <c r="D29" s="4">
        <v>71248.03</v>
      </c>
      <c r="E29" s="4">
        <v>0</v>
      </c>
      <c r="F29" s="4">
        <v>1199</v>
      </c>
      <c r="G29" s="4">
        <v>86675.88</v>
      </c>
      <c r="H29" s="4">
        <v>0</v>
      </c>
      <c r="I29" s="4">
        <v>0</v>
      </c>
      <c r="J29" s="4">
        <v>0</v>
      </c>
      <c r="K29" s="4">
        <v>80147.5</v>
      </c>
      <c r="L29" s="4">
        <v>1318332.02</v>
      </c>
      <c r="M29" s="4">
        <v>2596.13</v>
      </c>
      <c r="N29" s="4">
        <v>30820.16</v>
      </c>
      <c r="O29" s="4">
        <v>0</v>
      </c>
      <c r="P29" s="4">
        <v>1600</v>
      </c>
      <c r="Q29" s="4">
        <v>55788.5</v>
      </c>
      <c r="R29" s="4">
        <v>0</v>
      </c>
      <c r="S29" s="4">
        <v>36112.65</v>
      </c>
      <c r="T29" s="4">
        <v>0</v>
      </c>
      <c r="U29" s="4">
        <v>0</v>
      </c>
      <c r="V29" s="4">
        <v>0</v>
      </c>
      <c r="W29" s="4">
        <v>0</v>
      </c>
      <c r="X29" s="4">
        <v>33650.800000000003</v>
      </c>
      <c r="Y29" s="4">
        <v>99.45</v>
      </c>
      <c r="Z29" s="4">
        <v>7838.18</v>
      </c>
      <c r="AA29" s="4">
        <v>1564.54</v>
      </c>
      <c r="AB29" s="4">
        <v>72908.17</v>
      </c>
      <c r="AC29" s="4">
        <v>0</v>
      </c>
      <c r="AD29" s="4">
        <v>0</v>
      </c>
      <c r="AE29" s="4">
        <v>1427.89</v>
      </c>
      <c r="AF29" s="4">
        <v>1712.5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909.81</v>
      </c>
      <c r="AM29" s="4">
        <v>1154591.55</v>
      </c>
      <c r="AN29" s="4">
        <v>0</v>
      </c>
      <c r="AO29" s="4">
        <v>0</v>
      </c>
      <c r="AP29" s="4">
        <v>0</v>
      </c>
      <c r="AQ29" s="4">
        <v>5639.46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2150</v>
      </c>
      <c r="BA29" s="4">
        <v>0</v>
      </c>
      <c r="BB29" s="4">
        <v>0</v>
      </c>
      <c r="BC29" s="4">
        <v>0</v>
      </c>
      <c r="BD29" s="4">
        <v>2335.06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8577.34</v>
      </c>
      <c r="BK29" s="4">
        <v>0</v>
      </c>
      <c r="BL29" s="4">
        <v>1458.95</v>
      </c>
      <c r="BM29" s="4">
        <f t="shared" si="31"/>
        <v>3010062.3399999994</v>
      </c>
      <c r="BN29" s="4">
        <v>3010062.34</v>
      </c>
      <c r="BO29" s="4">
        <f t="shared" si="1"/>
        <v>0</v>
      </c>
      <c r="BP29" s="4">
        <v>663851.88</v>
      </c>
      <c r="BQ29" s="4"/>
      <c r="BR29" s="4"/>
      <c r="BS29" s="7"/>
      <c r="BT29" s="4">
        <f t="shared" si="15"/>
        <v>1761843.7799999996</v>
      </c>
      <c r="BU29" s="9">
        <f t="shared" si="16"/>
        <v>3534.06</v>
      </c>
      <c r="BV29" s="9">
        <f t="shared" si="17"/>
        <v>1160231.01</v>
      </c>
      <c r="BW29" s="9">
        <f t="shared" si="2"/>
        <v>82303.490000000005</v>
      </c>
      <c r="BX29" s="9">
        <f t="shared" si="3"/>
        <v>0</v>
      </c>
      <c r="BY29" s="9">
        <f t="shared" si="4"/>
        <v>2150</v>
      </c>
      <c r="BZ29" s="9">
        <f t="shared" si="18"/>
        <v>3010062.34</v>
      </c>
      <c r="CA29" s="9">
        <f t="shared" si="5"/>
        <v>0</v>
      </c>
      <c r="CB29" s="7"/>
      <c r="CC29" s="4">
        <v>661340.66</v>
      </c>
      <c r="CD29" s="4"/>
      <c r="CE29" s="4"/>
      <c r="CF29" s="4">
        <f t="shared" si="29"/>
        <v>661340.66</v>
      </c>
      <c r="CG29" s="4">
        <f t="shared" si="26"/>
        <v>0</v>
      </c>
      <c r="CH29" s="4">
        <v>0</v>
      </c>
      <c r="CI29" s="4"/>
      <c r="CJ29" s="4"/>
      <c r="CK29" s="4"/>
      <c r="CL29" s="4"/>
      <c r="CM29" s="4"/>
      <c r="CN29" s="4">
        <v>0</v>
      </c>
      <c r="CO29" s="4">
        <v>0</v>
      </c>
      <c r="CP29" s="4">
        <v>239304.2</v>
      </c>
      <c r="CQ29" s="4">
        <v>18831.919999999998</v>
      </c>
      <c r="CR29" s="4">
        <v>0</v>
      </c>
      <c r="CS29" s="4">
        <v>0</v>
      </c>
      <c r="CT29" s="4">
        <v>0</v>
      </c>
      <c r="CU29" s="4">
        <v>41858.29</v>
      </c>
      <c r="CV29" s="4">
        <v>14643.35</v>
      </c>
      <c r="CW29" s="4">
        <v>234331.88</v>
      </c>
      <c r="CX29" s="4">
        <v>0</v>
      </c>
      <c r="CY29" s="4">
        <v>13972</v>
      </c>
      <c r="CZ29" s="4">
        <v>0</v>
      </c>
      <c r="DA29" s="4">
        <v>4000</v>
      </c>
      <c r="DB29" s="4">
        <v>222.5</v>
      </c>
      <c r="DC29" s="4">
        <v>0</v>
      </c>
      <c r="DD29" s="4">
        <v>711.94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1137.8599999999999</v>
      </c>
      <c r="DL29" s="4">
        <v>0</v>
      </c>
      <c r="DM29" s="4">
        <v>1240</v>
      </c>
      <c r="DN29" s="4">
        <v>26033.01</v>
      </c>
      <c r="DO29" s="4">
        <v>1784182.65</v>
      </c>
      <c r="DP29" s="4"/>
      <c r="DQ29" s="4"/>
      <c r="DR29" s="4">
        <v>20125.419999999998</v>
      </c>
      <c r="DS29" s="4">
        <v>14761.15</v>
      </c>
      <c r="DT29" s="4">
        <v>0</v>
      </c>
      <c r="DU29" s="4">
        <v>0</v>
      </c>
      <c r="DV29" s="4">
        <v>0</v>
      </c>
      <c r="DW29" s="4"/>
      <c r="DX29" s="4">
        <v>26303.4</v>
      </c>
      <c r="DY29" s="4">
        <v>1007.28</v>
      </c>
      <c r="DZ29" s="4">
        <v>0</v>
      </c>
      <c r="EA29" s="4">
        <v>0</v>
      </c>
      <c r="EB29" s="4">
        <v>0</v>
      </c>
      <c r="EC29" s="4">
        <v>45252.32</v>
      </c>
      <c r="ED29" s="4">
        <v>30000</v>
      </c>
      <c r="EE29" s="4">
        <v>0</v>
      </c>
      <c r="EF29" s="4">
        <v>0</v>
      </c>
      <c r="EG29" s="4">
        <v>17685.89</v>
      </c>
      <c r="EH29" s="4">
        <v>0</v>
      </c>
      <c r="EI29" s="4">
        <v>2236.8200000000002</v>
      </c>
      <c r="EJ29" s="4">
        <v>85000</v>
      </c>
      <c r="EK29" s="4">
        <v>0</v>
      </c>
      <c r="EL29" s="4">
        <v>799.72</v>
      </c>
      <c r="EM29" s="4">
        <v>18</v>
      </c>
      <c r="EN29" s="4">
        <v>4027.87</v>
      </c>
      <c r="EO29" s="4">
        <f t="shared" si="28"/>
        <v>3289028.1299999994</v>
      </c>
      <c r="EP29" s="4">
        <v>3289028.13</v>
      </c>
      <c r="EQ29" s="4">
        <f t="shared" ref="EQ29:EQ44" si="32">+EO29-EP29</f>
        <v>0</v>
      </c>
      <c r="ER29" s="4">
        <v>384886.09</v>
      </c>
      <c r="ES29" s="4"/>
      <c r="ET29" s="4"/>
      <c r="EU29" s="7"/>
      <c r="EV29" s="4">
        <f t="shared" si="20"/>
        <v>125794.16</v>
      </c>
      <c r="EW29" s="4">
        <f t="shared" si="21"/>
        <v>0</v>
      </c>
      <c r="EX29" s="4">
        <f t="shared" si="22"/>
        <v>1804308.0699999998</v>
      </c>
      <c r="EY29" s="4">
        <v>704076.60999999987</v>
      </c>
      <c r="EZ29" s="4">
        <f t="shared" si="24"/>
        <v>670143.97999999975</v>
      </c>
      <c r="FA29" s="13">
        <v>0</v>
      </c>
      <c r="FB29" s="13">
        <f t="shared" si="9"/>
        <v>3304322.8199999994</v>
      </c>
      <c r="FC29" s="13">
        <f t="shared" si="10"/>
        <v>15294.689999999944</v>
      </c>
      <c r="FD29" s="12"/>
      <c r="FE29" s="13">
        <f t="shared" si="11"/>
        <v>3007912.34</v>
      </c>
      <c r="FF29" s="13">
        <f t="shared" si="12"/>
        <v>3178528.6599999992</v>
      </c>
      <c r="FG29" s="13">
        <f t="shared" si="13"/>
        <v>-170616.31999999937</v>
      </c>
      <c r="FH29" s="13">
        <f t="shared" si="14"/>
        <v>1633691.7500000005</v>
      </c>
    </row>
    <row r="30" spans="1:164" x14ac:dyDescent="0.35">
      <c r="A30">
        <v>1846</v>
      </c>
      <c r="B30" s="4">
        <v>13235.96</v>
      </c>
      <c r="C30" s="4">
        <v>18348.75</v>
      </c>
      <c r="D30" s="4">
        <v>68290.33</v>
      </c>
      <c r="E30" s="4">
        <v>0</v>
      </c>
      <c r="F30" s="4">
        <v>1253.5999999999999</v>
      </c>
      <c r="G30" s="4">
        <v>75384.820000000007</v>
      </c>
      <c r="H30" s="4">
        <v>0</v>
      </c>
      <c r="I30" s="4">
        <v>0</v>
      </c>
      <c r="J30" s="4">
        <v>0</v>
      </c>
      <c r="K30" s="4">
        <v>94892.63</v>
      </c>
      <c r="L30" s="4">
        <v>1445112.7</v>
      </c>
      <c r="M30" s="4">
        <v>12355.87</v>
      </c>
      <c r="N30" s="4">
        <v>57820.22</v>
      </c>
      <c r="O30" s="4">
        <v>0</v>
      </c>
      <c r="P30" s="4">
        <v>2095</v>
      </c>
      <c r="Q30" s="4">
        <v>110038.9</v>
      </c>
      <c r="R30" s="4">
        <v>0</v>
      </c>
      <c r="S30" s="4">
        <v>45888.04</v>
      </c>
      <c r="T30" s="4">
        <v>0</v>
      </c>
      <c r="U30" s="4">
        <v>0</v>
      </c>
      <c r="V30" s="4">
        <v>0</v>
      </c>
      <c r="W30" s="4">
        <v>0</v>
      </c>
      <c r="X30" s="4">
        <v>45468.56</v>
      </c>
      <c r="Y30" s="4">
        <v>392.08</v>
      </c>
      <c r="Z30" s="4">
        <v>15090.07</v>
      </c>
      <c r="AA30" s="4">
        <v>1716.66</v>
      </c>
      <c r="AB30" s="4">
        <v>109473.48</v>
      </c>
      <c r="AC30" s="4">
        <v>0</v>
      </c>
      <c r="AD30" s="4">
        <v>0</v>
      </c>
      <c r="AE30" s="4">
        <v>3372.23</v>
      </c>
      <c r="AF30" s="4">
        <v>6544.5</v>
      </c>
      <c r="AG30" s="4">
        <v>0</v>
      </c>
      <c r="AH30" s="4">
        <v>1180.5</v>
      </c>
      <c r="AI30" s="4">
        <v>0</v>
      </c>
      <c r="AJ30" s="4">
        <v>0</v>
      </c>
      <c r="AK30" s="4">
        <v>0</v>
      </c>
      <c r="AL30" s="4">
        <v>2880.36</v>
      </c>
      <c r="AM30" s="4">
        <v>1357203.37</v>
      </c>
      <c r="AN30" s="4">
        <v>0</v>
      </c>
      <c r="AO30" s="4">
        <v>0</v>
      </c>
      <c r="AP30" s="4">
        <v>0</v>
      </c>
      <c r="AQ30" s="4">
        <v>2679.22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12490</v>
      </c>
      <c r="BA30" s="4">
        <v>0</v>
      </c>
      <c r="BB30" s="4">
        <v>0</v>
      </c>
      <c r="BC30" s="4">
        <v>0</v>
      </c>
      <c r="BD30" s="4">
        <v>4204.01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15535.34</v>
      </c>
      <c r="BK30" s="4">
        <v>0</v>
      </c>
      <c r="BL30" s="4">
        <v>6065.08</v>
      </c>
      <c r="BM30" s="4">
        <f t="shared" si="31"/>
        <v>3529012.2800000003</v>
      </c>
      <c r="BN30" s="4">
        <v>3529057.28</v>
      </c>
      <c r="BO30" s="4">
        <f t="shared" si="1"/>
        <v>-44.999999999534339</v>
      </c>
      <c r="BP30" s="4">
        <v>384886.09</v>
      </c>
      <c r="BQ30" s="4"/>
      <c r="BR30" s="4"/>
      <c r="BS30" s="7"/>
      <c r="BT30" s="4">
        <f t="shared" si="15"/>
        <v>2037046.24</v>
      </c>
      <c r="BU30" s="9">
        <f t="shared" si="16"/>
        <v>5457.6100000000006</v>
      </c>
      <c r="BV30" s="9">
        <f t="shared" si="17"/>
        <v>1359882.59</v>
      </c>
      <c r="BW30" s="9">
        <f t="shared" si="2"/>
        <v>114135.83999999998</v>
      </c>
      <c r="BX30" s="9">
        <f t="shared" si="3"/>
        <v>0</v>
      </c>
      <c r="BY30" s="9">
        <f t="shared" si="4"/>
        <v>12490</v>
      </c>
      <c r="BZ30" s="9">
        <f t="shared" si="18"/>
        <v>3529012.2800000003</v>
      </c>
      <c r="CA30" s="9">
        <f t="shared" si="5"/>
        <v>0</v>
      </c>
      <c r="CB30" s="7"/>
      <c r="CC30" s="4">
        <f>694505.12+12219.39</f>
        <v>706724.51</v>
      </c>
      <c r="CD30" s="4"/>
      <c r="CE30" s="4"/>
      <c r="CF30" s="4">
        <f t="shared" si="29"/>
        <v>706724.51</v>
      </c>
      <c r="CG30" s="4">
        <f t="shared" si="26"/>
        <v>0</v>
      </c>
      <c r="CH30" s="4">
        <v>0</v>
      </c>
      <c r="CI30" s="4"/>
      <c r="CJ30" s="4"/>
      <c r="CK30" s="4"/>
      <c r="CL30" s="4"/>
      <c r="CM30" s="4"/>
      <c r="CN30" s="4">
        <v>0</v>
      </c>
      <c r="CO30" s="4">
        <v>0</v>
      </c>
      <c r="CP30" s="4">
        <v>216632.22</v>
      </c>
      <c r="CQ30" s="4">
        <v>26655.19</v>
      </c>
      <c r="CR30" s="4">
        <v>0</v>
      </c>
      <c r="CS30" s="4">
        <v>0</v>
      </c>
      <c r="CT30" s="4">
        <v>0</v>
      </c>
      <c r="CU30" s="4">
        <v>31425.14</v>
      </c>
      <c r="CV30" s="4">
        <v>15492.77</v>
      </c>
      <c r="CW30" s="4">
        <v>193221.51</v>
      </c>
      <c r="CX30" s="4">
        <v>0</v>
      </c>
      <c r="CY30" s="4">
        <v>17209</v>
      </c>
      <c r="CZ30" s="4">
        <v>0</v>
      </c>
      <c r="DA30" s="4">
        <v>4000</v>
      </c>
      <c r="DB30" s="4">
        <v>1277.7</v>
      </c>
      <c r="DC30" s="4">
        <v>0</v>
      </c>
      <c r="DD30" s="4">
        <v>145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810</v>
      </c>
      <c r="DL30" s="4">
        <v>0</v>
      </c>
      <c r="DM30" s="4">
        <v>724.5</v>
      </c>
      <c r="DN30" s="4">
        <v>25356.29</v>
      </c>
      <c r="DO30" s="4">
        <v>1984623.77</v>
      </c>
      <c r="DP30" s="4"/>
      <c r="DQ30" s="4"/>
      <c r="DR30" s="4">
        <v>45721.73</v>
      </c>
      <c r="DS30" s="4">
        <v>7501.73</v>
      </c>
      <c r="DT30" s="4">
        <v>0</v>
      </c>
      <c r="DU30" s="4">
        <v>0</v>
      </c>
      <c r="DV30" s="4">
        <v>0</v>
      </c>
      <c r="DW30" s="4"/>
      <c r="DX30" s="4">
        <v>25343.23</v>
      </c>
      <c r="DY30" s="4">
        <v>1109.6199999999999</v>
      </c>
      <c r="DZ30" s="4">
        <v>0</v>
      </c>
      <c r="EA30" s="4">
        <v>0</v>
      </c>
      <c r="EB30" s="4">
        <v>0</v>
      </c>
      <c r="EC30" s="4">
        <v>13019.8</v>
      </c>
      <c r="ED30" s="4">
        <v>0</v>
      </c>
      <c r="EE30" s="4">
        <v>0</v>
      </c>
      <c r="EF30" s="4">
        <v>0</v>
      </c>
      <c r="EG30" s="4">
        <v>33455.74</v>
      </c>
      <c r="EH30" s="4">
        <v>0</v>
      </c>
      <c r="EI30" s="4">
        <v>0</v>
      </c>
      <c r="EJ30" s="4">
        <v>176300</v>
      </c>
      <c r="EK30" s="4">
        <v>0</v>
      </c>
      <c r="EL30" s="4">
        <v>557.04</v>
      </c>
      <c r="EM30" s="4">
        <v>0</v>
      </c>
      <c r="EN30" s="4">
        <v>1958.18</v>
      </c>
      <c r="EO30" s="4">
        <f t="shared" si="28"/>
        <v>3529264.67</v>
      </c>
      <c r="EP30" s="4">
        <v>3529264.67</v>
      </c>
      <c r="EQ30" s="4">
        <f t="shared" si="32"/>
        <v>0</v>
      </c>
      <c r="ER30" s="4">
        <v>384678.7</v>
      </c>
      <c r="ES30" s="4"/>
      <c r="ET30" s="4"/>
      <c r="EU30" s="7"/>
      <c r="EV30" s="4">
        <f t="shared" si="20"/>
        <v>209158.02000000002</v>
      </c>
      <c r="EW30" s="4">
        <f t="shared" si="21"/>
        <v>0</v>
      </c>
      <c r="EX30" s="4">
        <f t="shared" si="22"/>
        <v>2030345.5</v>
      </c>
      <c r="EY30" s="4">
        <f t="shared" si="23"/>
        <v>732877.74</v>
      </c>
      <c r="EZ30" s="4">
        <f t="shared" si="24"/>
        <v>556883.41000000015</v>
      </c>
      <c r="FA30" s="13">
        <v>0</v>
      </c>
      <c r="FB30" s="13">
        <f t="shared" si="9"/>
        <v>3529264.67</v>
      </c>
      <c r="FC30" s="13">
        <f t="shared" si="10"/>
        <v>0</v>
      </c>
      <c r="FD30" s="12"/>
      <c r="FE30" s="13">
        <f t="shared" si="11"/>
        <v>3516522.2800000003</v>
      </c>
      <c r="FF30" s="13">
        <f t="shared" si="12"/>
        <v>3320106.6500000004</v>
      </c>
      <c r="FG30" s="13">
        <f t="shared" si="13"/>
        <v>196415.62999999989</v>
      </c>
      <c r="FH30" s="13">
        <f t="shared" si="14"/>
        <v>2226761.13</v>
      </c>
    </row>
    <row r="31" spans="1:164" x14ac:dyDescent="0.35">
      <c r="A31">
        <v>1847</v>
      </c>
      <c r="B31" s="4">
        <v>15293.04</v>
      </c>
      <c r="C31" s="4">
        <v>21700</v>
      </c>
      <c r="D31" s="4">
        <v>53831.08</v>
      </c>
      <c r="E31" s="4">
        <v>0</v>
      </c>
      <c r="F31" s="4">
        <v>1076.79</v>
      </c>
      <c r="G31" s="4">
        <v>128307.13</v>
      </c>
      <c r="H31" s="4">
        <v>0</v>
      </c>
      <c r="I31" s="4">
        <v>0</v>
      </c>
      <c r="J31" s="4">
        <v>0</v>
      </c>
      <c r="K31" s="4">
        <v>124355.56</v>
      </c>
      <c r="L31" s="4">
        <v>1380781.19</v>
      </c>
      <c r="M31" s="4">
        <v>13611.56</v>
      </c>
      <c r="N31" s="4">
        <v>47184.67</v>
      </c>
      <c r="O31" s="4">
        <v>0</v>
      </c>
      <c r="P31" s="4">
        <v>3420</v>
      </c>
      <c r="Q31" s="4">
        <v>118977.9</v>
      </c>
      <c r="R31" s="4">
        <v>0</v>
      </c>
      <c r="S31" s="4">
        <v>34963.129999999997</v>
      </c>
      <c r="T31" s="4">
        <v>0</v>
      </c>
      <c r="U31" s="4">
        <v>0</v>
      </c>
      <c r="V31" s="4">
        <v>0</v>
      </c>
      <c r="W31" s="4">
        <v>0</v>
      </c>
      <c r="X31" s="4">
        <v>42743.55</v>
      </c>
      <c r="Y31" s="4">
        <v>398.29</v>
      </c>
      <c r="Z31" s="4">
        <v>11090.37</v>
      </c>
      <c r="AA31" s="4">
        <v>1257.4100000000001</v>
      </c>
      <c r="AB31" s="4">
        <v>143684.70000000001</v>
      </c>
      <c r="AC31" s="4">
        <v>0</v>
      </c>
      <c r="AD31" s="4">
        <v>0</v>
      </c>
      <c r="AE31" s="4">
        <v>2291.04</v>
      </c>
      <c r="AF31" s="4">
        <v>5598.31</v>
      </c>
      <c r="AG31" s="4">
        <v>0</v>
      </c>
      <c r="AH31" s="4">
        <v>930</v>
      </c>
      <c r="AI31" s="4">
        <v>0</v>
      </c>
      <c r="AJ31" s="4">
        <v>0</v>
      </c>
      <c r="AK31" s="4">
        <v>0</v>
      </c>
      <c r="AL31" s="4">
        <v>0</v>
      </c>
      <c r="AM31" s="4">
        <v>1587995.61</v>
      </c>
      <c r="AN31" s="4">
        <v>0</v>
      </c>
      <c r="AO31" s="4">
        <v>0</v>
      </c>
      <c r="AP31" s="4">
        <v>0</v>
      </c>
      <c r="AQ31" s="4">
        <v>5018.07</v>
      </c>
      <c r="AR31" s="4">
        <v>0</v>
      </c>
      <c r="AS31" s="4">
        <v>0</v>
      </c>
      <c r="AT31" s="4">
        <v>1761.35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220089.89</v>
      </c>
      <c r="BA31" s="4">
        <v>0</v>
      </c>
      <c r="BB31" s="4">
        <v>0</v>
      </c>
      <c r="BC31" s="4">
        <v>0</v>
      </c>
      <c r="BD31" s="4">
        <v>2043.5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2242.59</v>
      </c>
      <c r="BK31" s="4">
        <v>0</v>
      </c>
      <c r="BL31" s="4">
        <v>6379.16</v>
      </c>
      <c r="BM31" s="4">
        <f t="shared" si="31"/>
        <v>3977025.89</v>
      </c>
      <c r="BN31" s="4">
        <v>3977025.89</v>
      </c>
      <c r="BO31" s="4">
        <f t="shared" si="1"/>
        <v>0</v>
      </c>
      <c r="BP31" s="4">
        <v>384678.7</v>
      </c>
      <c r="BQ31" s="4"/>
      <c r="BR31" s="4"/>
      <c r="BS31" s="7"/>
      <c r="BT31" s="4">
        <f t="shared" si="15"/>
        <v>2059193.6799999997</v>
      </c>
      <c r="BU31" s="9">
        <f t="shared" si="16"/>
        <v>4881.6399999999994</v>
      </c>
      <c r="BV31" s="9">
        <f t="shared" si="17"/>
        <v>1593013.6800000002</v>
      </c>
      <c r="BW31" s="9">
        <f t="shared" si="2"/>
        <v>99846.999999999985</v>
      </c>
      <c r="BX31" s="9">
        <f t="shared" si="3"/>
        <v>0</v>
      </c>
      <c r="BY31" s="9">
        <f t="shared" si="4"/>
        <v>220089.89</v>
      </c>
      <c r="BZ31" s="9">
        <f t="shared" si="18"/>
        <v>3977025.89</v>
      </c>
      <c r="CA31" s="9">
        <f t="shared" si="5"/>
        <v>0</v>
      </c>
      <c r="CB31" s="7"/>
      <c r="CC31" s="4">
        <f>690575.95+16515.57+16550.99</f>
        <v>723642.50999999989</v>
      </c>
      <c r="CD31" s="4"/>
      <c r="CE31" s="4"/>
      <c r="CF31" s="4">
        <f t="shared" si="29"/>
        <v>723642.50999999989</v>
      </c>
      <c r="CG31" s="4">
        <f t="shared" si="26"/>
        <v>0</v>
      </c>
      <c r="CH31" s="4">
        <v>0</v>
      </c>
      <c r="CI31" s="4"/>
      <c r="CJ31" s="4"/>
      <c r="CK31" s="4"/>
      <c r="CL31" s="4"/>
      <c r="CM31" s="4"/>
      <c r="CN31" s="4">
        <v>0</v>
      </c>
      <c r="CO31" s="4">
        <v>0</v>
      </c>
      <c r="CP31" s="4">
        <v>200113.37</v>
      </c>
      <c r="CQ31" s="4">
        <v>25837.72</v>
      </c>
      <c r="CR31" s="4">
        <v>0</v>
      </c>
      <c r="CS31" s="4">
        <v>0</v>
      </c>
      <c r="CT31" s="4">
        <v>0</v>
      </c>
      <c r="CU31" s="4">
        <v>24850.11</v>
      </c>
      <c r="CV31" s="4">
        <v>29000</v>
      </c>
      <c r="CW31" s="4">
        <v>196804.04</v>
      </c>
      <c r="CX31" s="4">
        <v>0</v>
      </c>
      <c r="CY31" s="4">
        <v>14915</v>
      </c>
      <c r="CZ31" s="4">
        <v>0</v>
      </c>
      <c r="DA31" s="4">
        <v>4000</v>
      </c>
      <c r="DB31" s="4">
        <v>1751.54</v>
      </c>
      <c r="DC31" s="4">
        <v>0</v>
      </c>
      <c r="DD31" s="4">
        <v>679.57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1802.37</v>
      </c>
      <c r="DL31" s="4">
        <v>0</v>
      </c>
      <c r="DM31" s="4">
        <v>1924.8</v>
      </c>
      <c r="DN31" s="4">
        <v>209064.46</v>
      </c>
      <c r="DO31" s="4">
        <v>2002240.41</v>
      </c>
      <c r="DP31" s="4"/>
      <c r="DQ31" s="4"/>
      <c r="DR31" s="4">
        <v>30800</v>
      </c>
      <c r="DS31" s="4">
        <v>5133.51</v>
      </c>
      <c r="DT31" s="4">
        <v>0</v>
      </c>
      <c r="DU31" s="4">
        <v>0</v>
      </c>
      <c r="DV31" s="4">
        <v>0</v>
      </c>
      <c r="DW31" s="4"/>
      <c r="DX31" s="4">
        <v>12467.21</v>
      </c>
      <c r="DY31" s="4">
        <v>98.2</v>
      </c>
      <c r="DZ31" s="4">
        <v>0</v>
      </c>
      <c r="EA31" s="4">
        <v>0</v>
      </c>
      <c r="EB31" s="4">
        <v>0</v>
      </c>
      <c r="EC31" s="4">
        <v>61</v>
      </c>
      <c r="ED31" s="4">
        <v>0</v>
      </c>
      <c r="EE31" s="4">
        <v>0</v>
      </c>
      <c r="EF31" s="4">
        <v>0</v>
      </c>
      <c r="EG31" s="4">
        <v>40369.57</v>
      </c>
      <c r="EH31" s="4">
        <v>0</v>
      </c>
      <c r="EI31" s="4">
        <v>0</v>
      </c>
      <c r="EJ31" s="4">
        <v>150000</v>
      </c>
      <c r="EK31" s="4">
        <v>0</v>
      </c>
      <c r="EL31" s="4">
        <v>35</v>
      </c>
      <c r="EM31" s="4">
        <v>0</v>
      </c>
      <c r="EN31" s="4">
        <v>5223.3500000000004</v>
      </c>
      <c r="EO31" s="4">
        <f t="shared" si="28"/>
        <v>3680813.7399999993</v>
      </c>
      <c r="EP31" s="4">
        <v>3680813.74</v>
      </c>
      <c r="EQ31" s="4">
        <f t="shared" si="32"/>
        <v>0</v>
      </c>
      <c r="ER31" s="4">
        <v>680890.85</v>
      </c>
      <c r="ES31" s="4"/>
      <c r="ET31" s="4"/>
      <c r="EU31" s="7"/>
      <c r="EV31" s="4">
        <f t="shared" si="20"/>
        <v>364197.97</v>
      </c>
      <c r="EW31" s="4">
        <f t="shared" si="21"/>
        <v>0</v>
      </c>
      <c r="EX31" s="4">
        <f t="shared" si="22"/>
        <v>2033040.41</v>
      </c>
      <c r="EY31" s="4">
        <f t="shared" si="23"/>
        <v>737912.08999999985</v>
      </c>
      <c r="EZ31" s="4">
        <f t="shared" si="24"/>
        <v>545663.2699999999</v>
      </c>
      <c r="FA31" s="13">
        <v>0</v>
      </c>
      <c r="FB31" s="13">
        <f t="shared" si="9"/>
        <v>3680813.7399999998</v>
      </c>
      <c r="FC31" s="13">
        <f t="shared" si="10"/>
        <v>0</v>
      </c>
      <c r="FD31" s="12"/>
      <c r="FE31" s="13">
        <f t="shared" si="11"/>
        <v>3756936</v>
      </c>
      <c r="FF31" s="13">
        <f t="shared" si="12"/>
        <v>3316615.77</v>
      </c>
      <c r="FG31" s="13">
        <f t="shared" si="13"/>
        <v>440320.23</v>
      </c>
      <c r="FH31" s="13">
        <f t="shared" si="14"/>
        <v>2473360.6399999997</v>
      </c>
    </row>
    <row r="32" spans="1:164" x14ac:dyDescent="0.35">
      <c r="A32">
        <v>1848</v>
      </c>
      <c r="B32" s="4">
        <v>21454.91</v>
      </c>
      <c r="C32" s="4">
        <v>22500</v>
      </c>
      <c r="D32" s="4">
        <v>56153.5</v>
      </c>
      <c r="E32" s="4">
        <v>0</v>
      </c>
      <c r="F32" s="4">
        <v>1950</v>
      </c>
      <c r="G32" s="4">
        <v>118048.55</v>
      </c>
      <c r="H32" s="4">
        <v>0</v>
      </c>
      <c r="I32" s="4">
        <v>0</v>
      </c>
      <c r="J32" s="4">
        <v>0</v>
      </c>
      <c r="K32" s="4">
        <v>140359.89000000001</v>
      </c>
      <c r="L32" s="4">
        <v>1350129.49</v>
      </c>
      <c r="M32" s="4">
        <v>19394.259999999998</v>
      </c>
      <c r="N32" s="4">
        <v>30682.95</v>
      </c>
      <c r="O32" s="4">
        <v>0</v>
      </c>
      <c r="P32" s="4">
        <v>1965</v>
      </c>
      <c r="Q32" s="4">
        <v>113431.23</v>
      </c>
      <c r="R32" s="4">
        <v>0</v>
      </c>
      <c r="S32" s="4">
        <v>33306.61</v>
      </c>
      <c r="T32" s="4">
        <v>0</v>
      </c>
      <c r="U32" s="4">
        <v>0</v>
      </c>
      <c r="V32" s="4">
        <v>0</v>
      </c>
      <c r="W32" s="4">
        <v>0</v>
      </c>
      <c r="X32" s="4">
        <v>55359.01</v>
      </c>
      <c r="Y32" s="4">
        <v>305.54000000000002</v>
      </c>
      <c r="Z32" s="4">
        <v>17161.73</v>
      </c>
      <c r="AA32" s="4">
        <v>1644.24</v>
      </c>
      <c r="AB32" s="4">
        <v>131165.29999999999</v>
      </c>
      <c r="AC32" s="4">
        <v>0</v>
      </c>
      <c r="AD32" s="4">
        <v>0</v>
      </c>
      <c r="AE32" s="4">
        <v>2184.85</v>
      </c>
      <c r="AF32" s="4">
        <v>2566</v>
      </c>
      <c r="AG32" s="4">
        <v>0</v>
      </c>
      <c r="AH32" s="4">
        <v>557.65</v>
      </c>
      <c r="AI32" s="4">
        <v>0</v>
      </c>
      <c r="AJ32" s="4">
        <v>0</v>
      </c>
      <c r="AK32" s="4">
        <v>0</v>
      </c>
      <c r="AL32" s="4">
        <v>905.99</v>
      </c>
      <c r="AM32" s="4">
        <v>1550555.03</v>
      </c>
      <c r="AN32" s="4">
        <v>0</v>
      </c>
      <c r="AO32" s="4">
        <v>0</v>
      </c>
      <c r="AP32" s="4">
        <v>0</v>
      </c>
      <c r="AQ32" s="4">
        <v>1121.58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140000</v>
      </c>
      <c r="BA32" s="4">
        <v>0</v>
      </c>
      <c r="BB32" s="4">
        <v>0</v>
      </c>
      <c r="BC32" s="4">
        <v>0</v>
      </c>
      <c r="BD32" s="4">
        <v>2808.17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14538.05</v>
      </c>
      <c r="BK32" s="4">
        <v>0</v>
      </c>
      <c r="BL32" s="4">
        <v>1526.69</v>
      </c>
      <c r="BM32" s="4">
        <f t="shared" si="31"/>
        <v>3831776.22</v>
      </c>
      <c r="BN32" s="4">
        <v>3831776.22</v>
      </c>
      <c r="BO32" s="4">
        <f t="shared" si="1"/>
        <v>0</v>
      </c>
      <c r="BP32" s="4">
        <v>680890.85</v>
      </c>
      <c r="BQ32" s="4"/>
      <c r="BR32" s="4"/>
      <c r="BS32" s="7"/>
      <c r="BT32" s="4">
        <f t="shared" si="15"/>
        <v>2002495.51</v>
      </c>
      <c r="BU32" s="9">
        <f t="shared" si="16"/>
        <v>4758.17</v>
      </c>
      <c r="BV32" s="9">
        <f t="shared" si="17"/>
        <v>1551676.61</v>
      </c>
      <c r="BW32" s="9">
        <f t="shared" si="2"/>
        <v>132845.93</v>
      </c>
      <c r="BX32" s="9">
        <f t="shared" si="3"/>
        <v>0</v>
      </c>
      <c r="BY32" s="9">
        <f t="shared" si="4"/>
        <v>140000</v>
      </c>
      <c r="BZ32" s="9">
        <f t="shared" si="18"/>
        <v>3831776.22</v>
      </c>
      <c r="CA32" s="9">
        <f t="shared" si="5"/>
        <v>0</v>
      </c>
      <c r="CB32" s="7"/>
      <c r="CC32" s="4">
        <f>996592.7+2978.71+1600+6958.37</f>
        <v>1008129.7799999999</v>
      </c>
      <c r="CD32" s="4"/>
      <c r="CE32" s="4"/>
      <c r="CF32" s="4">
        <f t="shared" si="29"/>
        <v>1008129.7799999999</v>
      </c>
      <c r="CG32" s="4">
        <f t="shared" si="26"/>
        <v>0</v>
      </c>
      <c r="CH32" s="4">
        <v>0</v>
      </c>
      <c r="CI32" s="4"/>
      <c r="CJ32" s="4"/>
      <c r="CK32" s="4"/>
      <c r="CL32" s="4"/>
      <c r="CM32" s="4"/>
      <c r="CN32" s="4">
        <v>0</v>
      </c>
      <c r="CO32" s="4">
        <v>0</v>
      </c>
      <c r="CP32" s="4">
        <v>230550.78</v>
      </c>
      <c r="CQ32" s="4">
        <v>36724.32</v>
      </c>
      <c r="CR32" s="4">
        <v>0</v>
      </c>
      <c r="CS32" s="4">
        <v>0</v>
      </c>
      <c r="CT32" s="4">
        <v>1000</v>
      </c>
      <c r="CU32" s="4">
        <v>22705.21</v>
      </c>
      <c r="CV32" s="4">
        <v>27000</v>
      </c>
      <c r="CW32" s="4">
        <v>176590.62</v>
      </c>
      <c r="CX32" s="4">
        <v>0</v>
      </c>
      <c r="CY32" s="4">
        <v>7247</v>
      </c>
      <c r="CZ32" s="4">
        <v>0</v>
      </c>
      <c r="DA32" s="4">
        <v>4000</v>
      </c>
      <c r="DB32" s="4">
        <v>190.2</v>
      </c>
      <c r="DC32" s="4">
        <v>0</v>
      </c>
      <c r="DD32" s="4">
        <v>763.97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3054.43</v>
      </c>
      <c r="DL32" s="4">
        <v>0</v>
      </c>
      <c r="DM32" s="4">
        <v>2044.15</v>
      </c>
      <c r="DN32" s="4">
        <v>148378.15</v>
      </c>
      <c r="DO32" s="4">
        <v>2005740.79</v>
      </c>
      <c r="DP32" s="4"/>
      <c r="DQ32" s="4"/>
      <c r="DR32" s="4">
        <v>32500</v>
      </c>
      <c r="DS32" s="4">
        <v>13246.42</v>
      </c>
      <c r="DT32" s="4">
        <v>0</v>
      </c>
      <c r="DU32" s="4">
        <v>0</v>
      </c>
      <c r="DV32" s="4">
        <v>0</v>
      </c>
      <c r="DW32" s="4"/>
      <c r="DX32" s="4">
        <v>26453.1</v>
      </c>
      <c r="DY32" s="4">
        <v>303.61</v>
      </c>
      <c r="DZ32" s="4">
        <v>0</v>
      </c>
      <c r="EA32" s="4">
        <v>0</v>
      </c>
      <c r="EB32" s="4">
        <v>0</v>
      </c>
      <c r="EC32" s="4">
        <v>39</v>
      </c>
      <c r="ED32" s="4">
        <v>0</v>
      </c>
      <c r="EE32" s="4">
        <v>0</v>
      </c>
      <c r="EF32" s="4">
        <v>0</v>
      </c>
      <c r="EG32" s="4">
        <v>41522.11</v>
      </c>
      <c r="EH32" s="4">
        <v>0</v>
      </c>
      <c r="EI32" s="4">
        <f>2253.02+1909.08</f>
        <v>4162.1000000000004</v>
      </c>
      <c r="EJ32" s="4">
        <v>139000</v>
      </c>
      <c r="EK32" s="4">
        <v>0</v>
      </c>
      <c r="EL32" s="4">
        <v>771.42</v>
      </c>
      <c r="EM32" s="4">
        <v>0</v>
      </c>
      <c r="EN32" s="4">
        <v>3259.52</v>
      </c>
      <c r="EO32" s="4">
        <f t="shared" si="28"/>
        <v>3935376.6799999997</v>
      </c>
      <c r="EP32" s="4">
        <v>3935376.68</v>
      </c>
      <c r="EQ32" s="4">
        <f t="shared" si="32"/>
        <v>0</v>
      </c>
      <c r="ER32" s="4">
        <v>577290.39</v>
      </c>
      <c r="ES32" s="4"/>
      <c r="ET32" s="4"/>
      <c r="EU32" s="7"/>
      <c r="EV32" s="4">
        <f t="shared" si="20"/>
        <v>300624.57</v>
      </c>
      <c r="EW32" s="4">
        <f t="shared" si="21"/>
        <v>0</v>
      </c>
      <c r="EX32" s="4">
        <f t="shared" si="22"/>
        <v>2038240.79</v>
      </c>
      <c r="EY32" s="4">
        <f t="shared" si="23"/>
        <v>1037637.3099999999</v>
      </c>
      <c r="EZ32" s="4">
        <f t="shared" si="24"/>
        <v>558874.01</v>
      </c>
      <c r="FA32" s="13">
        <v>0</v>
      </c>
      <c r="FB32" s="13">
        <f t="shared" si="9"/>
        <v>3935376.6799999997</v>
      </c>
      <c r="FC32" s="13">
        <f t="shared" si="10"/>
        <v>0</v>
      </c>
      <c r="FD32" s="12"/>
      <c r="FE32" s="13">
        <f t="shared" si="11"/>
        <v>3691776.22</v>
      </c>
      <c r="FF32" s="13">
        <f t="shared" si="12"/>
        <v>3634752.1100000003</v>
      </c>
      <c r="FG32" s="13">
        <f t="shared" si="13"/>
        <v>57024.10999999987</v>
      </c>
      <c r="FH32" s="13">
        <f t="shared" si="14"/>
        <v>2095264.9</v>
      </c>
    </row>
    <row r="33" spans="1:164" x14ac:dyDescent="0.35">
      <c r="A33">
        <v>1849</v>
      </c>
      <c r="B33" s="4">
        <v>17198.23</v>
      </c>
      <c r="C33" s="4">
        <v>21125</v>
      </c>
      <c r="D33" s="4">
        <v>46980.79</v>
      </c>
      <c r="E33" s="4">
        <v>0</v>
      </c>
      <c r="F33" s="4">
        <v>1950</v>
      </c>
      <c r="G33" s="4">
        <v>164838.70000000001</v>
      </c>
      <c r="H33" s="4">
        <v>0</v>
      </c>
      <c r="I33" s="4">
        <v>0</v>
      </c>
      <c r="J33" s="4">
        <v>0</v>
      </c>
      <c r="K33" s="4">
        <v>151282.31</v>
      </c>
      <c r="L33" s="4">
        <v>1293921.23</v>
      </c>
      <c r="M33" s="4">
        <v>12821.63</v>
      </c>
      <c r="N33" s="4">
        <v>35067.910000000003</v>
      </c>
      <c r="O33" s="4">
        <v>0</v>
      </c>
      <c r="P33" s="4">
        <v>10365</v>
      </c>
      <c r="Q33" s="4">
        <v>121089.59</v>
      </c>
      <c r="R33" s="4">
        <v>0</v>
      </c>
      <c r="S33" s="4">
        <v>83660.81</v>
      </c>
      <c r="T33" s="4">
        <v>0</v>
      </c>
      <c r="U33" s="4">
        <v>0</v>
      </c>
      <c r="V33" s="4">
        <v>0</v>
      </c>
      <c r="W33" s="4">
        <v>0</v>
      </c>
      <c r="X33" s="4">
        <v>190812.07</v>
      </c>
      <c r="Y33" s="4">
        <v>507.77</v>
      </c>
      <c r="Z33" s="4">
        <v>11112.08</v>
      </c>
      <c r="AA33" s="4">
        <v>1809.86</v>
      </c>
      <c r="AB33" s="4">
        <v>155594.10999999999</v>
      </c>
      <c r="AC33" s="4">
        <v>0</v>
      </c>
      <c r="AD33" s="4">
        <v>0</v>
      </c>
      <c r="AE33" s="4">
        <v>3192.34</v>
      </c>
      <c r="AF33" s="4">
        <v>10882.01</v>
      </c>
      <c r="AG33" s="4">
        <v>385</v>
      </c>
      <c r="AH33" s="4">
        <v>2542.5</v>
      </c>
      <c r="AI33" s="4">
        <v>2985.5</v>
      </c>
      <c r="AJ33" s="4">
        <v>5876.7</v>
      </c>
      <c r="AK33" s="4">
        <v>1944.67</v>
      </c>
      <c r="AL33" s="4">
        <v>7881.61</v>
      </c>
      <c r="AM33" s="4">
        <v>1628860.13</v>
      </c>
      <c r="AN33" s="4">
        <v>0</v>
      </c>
      <c r="AO33" s="4">
        <v>0</v>
      </c>
      <c r="AP33" s="4">
        <v>0</v>
      </c>
      <c r="AQ33" s="4">
        <v>6867.42</v>
      </c>
      <c r="AR33" s="4">
        <v>0</v>
      </c>
      <c r="AS33" s="4">
        <v>0</v>
      </c>
      <c r="AT33" s="4">
        <v>281.32</v>
      </c>
      <c r="AU33" s="4">
        <v>0</v>
      </c>
      <c r="AV33" s="4">
        <v>783.62</v>
      </c>
      <c r="AW33" s="4">
        <v>0</v>
      </c>
      <c r="AX33" s="4">
        <v>37397.96</v>
      </c>
      <c r="AY33" s="4">
        <v>0</v>
      </c>
      <c r="AZ33" s="4">
        <v>391628.81</v>
      </c>
      <c r="BA33" s="4">
        <v>1085.8</v>
      </c>
      <c r="BB33" s="4">
        <v>0</v>
      </c>
      <c r="BC33" s="4">
        <v>0</v>
      </c>
      <c r="BD33" s="4">
        <v>6663.73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2095.23</v>
      </c>
      <c r="BK33" s="4">
        <v>0</v>
      </c>
      <c r="BL33" s="4">
        <v>2197.21</v>
      </c>
      <c r="BM33" s="4">
        <f t="shared" si="31"/>
        <v>4433688.6499999994</v>
      </c>
      <c r="BN33" s="4">
        <v>4433688.6500000004</v>
      </c>
      <c r="BO33" s="4">
        <f t="shared" si="1"/>
        <v>0</v>
      </c>
      <c r="BP33" s="4">
        <v>577290.39</v>
      </c>
      <c r="BQ33" s="4"/>
      <c r="BR33" s="4"/>
      <c r="BS33" s="7"/>
      <c r="BT33" s="4">
        <f t="shared" si="15"/>
        <v>2113122.27</v>
      </c>
      <c r="BU33" s="9">
        <f t="shared" si="16"/>
        <v>8895.0499999999993</v>
      </c>
      <c r="BV33" s="9">
        <f t="shared" si="17"/>
        <v>1635727.5499999998</v>
      </c>
      <c r="BW33" s="9">
        <f t="shared" si="2"/>
        <v>283229.17</v>
      </c>
      <c r="BX33" s="9">
        <f t="shared" si="3"/>
        <v>0</v>
      </c>
      <c r="BY33" s="9">
        <f t="shared" si="4"/>
        <v>392714.61</v>
      </c>
      <c r="BZ33" s="9">
        <f t="shared" si="18"/>
        <v>4433688.6499999994</v>
      </c>
      <c r="CA33" s="9">
        <f t="shared" si="5"/>
        <v>0</v>
      </c>
      <c r="CB33" s="7"/>
      <c r="CC33" s="4">
        <f>951249.03+4480.1</f>
        <v>955729.13</v>
      </c>
      <c r="CD33" s="4"/>
      <c r="CE33" s="4"/>
      <c r="CF33" s="4">
        <f t="shared" si="29"/>
        <v>955729.13</v>
      </c>
      <c r="CG33" s="4">
        <f t="shared" si="26"/>
        <v>0</v>
      </c>
      <c r="CH33" s="4">
        <v>0</v>
      </c>
      <c r="CI33" s="4"/>
      <c r="CJ33" s="4"/>
      <c r="CK33" s="4"/>
      <c r="CL33" s="4"/>
      <c r="CM33" s="4"/>
      <c r="CN33" s="4">
        <v>0</v>
      </c>
      <c r="CO33" s="4">
        <v>0</v>
      </c>
      <c r="CP33" s="4">
        <v>237105.33</v>
      </c>
      <c r="CQ33" s="4">
        <v>23860.68</v>
      </c>
      <c r="CR33" s="4">
        <v>0</v>
      </c>
      <c r="CS33" s="4">
        <v>0</v>
      </c>
      <c r="CT33" s="4">
        <v>0</v>
      </c>
      <c r="CU33" s="4">
        <v>19704.02</v>
      </c>
      <c r="CV33" s="4">
        <v>55000</v>
      </c>
      <c r="CW33" s="4">
        <v>179360.41</v>
      </c>
      <c r="CX33" s="4">
        <v>0</v>
      </c>
      <c r="CY33" s="4">
        <v>23058.13</v>
      </c>
      <c r="CZ33" s="4">
        <v>0</v>
      </c>
      <c r="DA33" s="4">
        <v>4000</v>
      </c>
      <c r="DB33" s="4">
        <v>267.5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1641.25</v>
      </c>
      <c r="DL33" s="4">
        <v>0</v>
      </c>
      <c r="DM33" s="4">
        <v>1275.49</v>
      </c>
      <c r="DN33" s="4">
        <v>279227.8</v>
      </c>
      <c r="DO33" s="4">
        <v>2007616.99</v>
      </c>
      <c r="DP33" s="4"/>
      <c r="DQ33" s="4"/>
      <c r="DR33" s="4">
        <v>32500</v>
      </c>
      <c r="DS33" s="4">
        <v>9315.25</v>
      </c>
      <c r="DT33" s="4">
        <v>100001.12</v>
      </c>
      <c r="DU33" s="4">
        <v>0</v>
      </c>
      <c r="DV33" s="4">
        <v>0</v>
      </c>
      <c r="DW33" s="4"/>
      <c r="DX33" s="4">
        <v>21557.200000000001</v>
      </c>
      <c r="DY33" s="4">
        <v>304.2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45508.45</v>
      </c>
      <c r="EH33" s="4">
        <v>0</v>
      </c>
      <c r="EI33" s="4">
        <v>4738.16</v>
      </c>
      <c r="EJ33" s="4">
        <v>76000</v>
      </c>
      <c r="EK33" s="4">
        <v>0</v>
      </c>
      <c r="EL33" s="4">
        <v>1334.93</v>
      </c>
      <c r="EM33" s="4">
        <v>0</v>
      </c>
      <c r="EN33" s="4">
        <f>3000+2665.76</f>
        <v>5665.76</v>
      </c>
      <c r="EO33" s="4">
        <f t="shared" si="28"/>
        <v>4084771.8000000003</v>
      </c>
      <c r="EP33" s="4">
        <v>4084771.8</v>
      </c>
      <c r="EQ33" s="4">
        <f t="shared" si="32"/>
        <v>0</v>
      </c>
      <c r="ER33" s="4">
        <v>926207.24</v>
      </c>
      <c r="ES33" s="4"/>
      <c r="ET33" s="4"/>
      <c r="EU33" s="7"/>
      <c r="EV33" s="4">
        <f t="shared" si="20"/>
        <v>464544.17</v>
      </c>
      <c r="EW33" s="4">
        <f t="shared" si="21"/>
        <v>0</v>
      </c>
      <c r="EX33" s="4">
        <f t="shared" si="22"/>
        <v>2040116.99</v>
      </c>
      <c r="EY33" s="4">
        <f t="shared" si="23"/>
        <v>978927.58</v>
      </c>
      <c r="EZ33" s="4">
        <f t="shared" si="24"/>
        <v>601183.05999999994</v>
      </c>
      <c r="FA33" s="13">
        <v>0</v>
      </c>
      <c r="FB33" s="13">
        <f t="shared" si="9"/>
        <v>4084771.8000000003</v>
      </c>
      <c r="FC33" s="13">
        <f t="shared" si="10"/>
        <v>0</v>
      </c>
      <c r="FD33" s="12"/>
      <c r="FE33" s="13">
        <f t="shared" si="11"/>
        <v>4040974.0399999996</v>
      </c>
      <c r="FF33" s="13">
        <f t="shared" si="12"/>
        <v>3620227.63</v>
      </c>
      <c r="FG33" s="13">
        <f t="shared" si="13"/>
        <v>420746.40999999968</v>
      </c>
      <c r="FH33" s="13">
        <f t="shared" si="14"/>
        <v>2460863.3999999994</v>
      </c>
    </row>
    <row r="34" spans="1:164" x14ac:dyDescent="0.35">
      <c r="A34">
        <v>1850</v>
      </c>
      <c r="B34" s="4">
        <v>16378.58</v>
      </c>
      <c r="C34" s="4">
        <v>18673.75</v>
      </c>
      <c r="D34" s="4">
        <v>44898.22</v>
      </c>
      <c r="E34" s="4">
        <v>0</v>
      </c>
      <c r="F34" s="4">
        <v>2460.9</v>
      </c>
      <c r="G34" s="4">
        <v>153877.14000000001</v>
      </c>
      <c r="H34" s="4">
        <v>0</v>
      </c>
      <c r="I34" s="4">
        <v>0</v>
      </c>
      <c r="J34" s="4">
        <v>0</v>
      </c>
      <c r="K34" s="4">
        <v>136510.14000000001</v>
      </c>
      <c r="L34" s="4">
        <v>1317821.55</v>
      </c>
      <c r="M34" s="4">
        <v>14047.21</v>
      </c>
      <c r="N34" s="4">
        <v>45409.47</v>
      </c>
      <c r="O34" s="4">
        <v>0</v>
      </c>
      <c r="P34" s="4">
        <v>10270</v>
      </c>
      <c r="Q34" s="4">
        <v>119356.3</v>
      </c>
      <c r="R34" s="4">
        <v>0</v>
      </c>
      <c r="S34" s="4">
        <v>107427.49</v>
      </c>
      <c r="T34" s="4">
        <v>0</v>
      </c>
      <c r="U34" s="4">
        <v>0</v>
      </c>
      <c r="V34" s="4">
        <v>2760.83</v>
      </c>
      <c r="W34" s="4">
        <v>0</v>
      </c>
      <c r="X34" s="4">
        <v>102295.07</v>
      </c>
      <c r="Y34" s="4">
        <v>345.58</v>
      </c>
      <c r="Z34" s="4">
        <v>12953.73</v>
      </c>
      <c r="AA34" s="4">
        <v>3687.2</v>
      </c>
      <c r="AB34" s="4">
        <v>171062.26</v>
      </c>
      <c r="AC34" s="4">
        <v>0</v>
      </c>
      <c r="AD34" s="4">
        <v>0</v>
      </c>
      <c r="AE34" s="4">
        <v>2525.0500000000002</v>
      </c>
      <c r="AF34" s="4">
        <v>10228.73</v>
      </c>
      <c r="AG34" s="4">
        <v>4203.91</v>
      </c>
      <c r="AH34" s="4">
        <v>2384.5</v>
      </c>
      <c r="AI34" s="4">
        <v>3045.81</v>
      </c>
      <c r="AJ34" s="4">
        <v>6530.97</v>
      </c>
      <c r="AK34" s="4">
        <v>2633.04</v>
      </c>
      <c r="AL34" s="4">
        <v>0</v>
      </c>
      <c r="AM34" s="4">
        <v>1713848.16</v>
      </c>
      <c r="AN34" s="4">
        <v>13685.44</v>
      </c>
      <c r="AO34" s="4">
        <v>0</v>
      </c>
      <c r="AP34" s="4">
        <v>0</v>
      </c>
      <c r="AQ34" s="4">
        <v>6953.64</v>
      </c>
      <c r="AR34" s="4">
        <v>0</v>
      </c>
      <c r="AS34" s="4">
        <v>0</v>
      </c>
      <c r="AT34" s="4">
        <v>0</v>
      </c>
      <c r="AU34" s="4">
        <v>0</v>
      </c>
      <c r="AV34" s="4">
        <v>177</v>
      </c>
      <c r="AW34" s="4">
        <v>0</v>
      </c>
      <c r="AX34" s="4">
        <v>89262.21</v>
      </c>
      <c r="AY34" s="4">
        <v>0</v>
      </c>
      <c r="AZ34" s="4">
        <v>270000</v>
      </c>
      <c r="BA34" s="4">
        <v>0</v>
      </c>
      <c r="BB34" s="4">
        <v>0</v>
      </c>
      <c r="BC34" s="4">
        <v>13721.27</v>
      </c>
      <c r="BD34" s="4">
        <v>3678.32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13278.61</v>
      </c>
      <c r="BK34" s="4">
        <v>0</v>
      </c>
      <c r="BL34" s="4">
        <v>1740.33</v>
      </c>
      <c r="BM34" s="4">
        <f t="shared" si="31"/>
        <v>4438132.4100000011</v>
      </c>
      <c r="BN34" s="4">
        <v>4438131.51</v>
      </c>
      <c r="BO34" s="4">
        <f t="shared" si="1"/>
        <v>0.9000000013038516</v>
      </c>
      <c r="BP34" s="4">
        <v>926207.24</v>
      </c>
      <c r="BQ34" s="4"/>
      <c r="BR34" s="4"/>
      <c r="BS34" s="7"/>
      <c r="BT34" s="4">
        <f t="shared" si="15"/>
        <v>2158679.8200000003</v>
      </c>
      <c r="BU34" s="9">
        <f t="shared" si="16"/>
        <v>19860.490000000002</v>
      </c>
      <c r="BV34" s="9">
        <f t="shared" si="17"/>
        <v>1720801.7999999998</v>
      </c>
      <c r="BW34" s="9">
        <f t="shared" si="2"/>
        <v>255104.86000000002</v>
      </c>
      <c r="BX34" s="9">
        <f t="shared" si="3"/>
        <v>0</v>
      </c>
      <c r="BY34" s="9">
        <f t="shared" si="4"/>
        <v>283685.44</v>
      </c>
      <c r="BZ34" s="9">
        <f t="shared" si="18"/>
        <v>4438132.41</v>
      </c>
      <c r="CA34" s="9">
        <f t="shared" si="5"/>
        <v>0</v>
      </c>
      <c r="CB34" s="7"/>
      <c r="CC34" s="4">
        <f>1488799.74+1947+163</f>
        <v>1490909.74</v>
      </c>
      <c r="CD34" s="4"/>
      <c r="CE34" s="4"/>
      <c r="CF34" s="4">
        <f t="shared" si="29"/>
        <v>1490909.74</v>
      </c>
      <c r="CG34" s="4">
        <f t="shared" si="26"/>
        <v>0</v>
      </c>
      <c r="CH34" s="4">
        <v>0</v>
      </c>
      <c r="CI34" s="4"/>
      <c r="CJ34" s="4"/>
      <c r="CK34" s="4"/>
      <c r="CL34" s="4"/>
      <c r="CM34" s="4"/>
      <c r="CN34" s="4">
        <v>0</v>
      </c>
      <c r="CO34" s="4">
        <v>0</v>
      </c>
      <c r="CP34" s="4">
        <v>262899.71000000002</v>
      </c>
      <c r="CQ34" s="4">
        <v>16282.25</v>
      </c>
      <c r="CR34" s="4">
        <v>0</v>
      </c>
      <c r="CS34" s="4">
        <v>0</v>
      </c>
      <c r="CT34" s="4">
        <v>0</v>
      </c>
      <c r="CU34" s="4">
        <v>17277.91</v>
      </c>
      <c r="CV34" s="4">
        <v>62267.85</v>
      </c>
      <c r="CW34" s="4">
        <v>213728.49</v>
      </c>
      <c r="CX34" s="4">
        <v>0</v>
      </c>
      <c r="CY34" s="4">
        <v>19283.79</v>
      </c>
      <c r="CZ34" s="4">
        <v>0</v>
      </c>
      <c r="DA34" s="4">
        <v>6000</v>
      </c>
      <c r="DB34" s="4">
        <v>192.75</v>
      </c>
      <c r="DC34" s="4">
        <v>0</v>
      </c>
      <c r="DD34" s="4">
        <v>100</v>
      </c>
      <c r="DE34" s="4">
        <v>0</v>
      </c>
      <c r="DF34" s="4">
        <v>2500</v>
      </c>
      <c r="DG34" s="4">
        <v>0</v>
      </c>
      <c r="DH34" s="4">
        <v>0</v>
      </c>
      <c r="DI34" s="4">
        <v>0</v>
      </c>
      <c r="DJ34" s="4">
        <v>0</v>
      </c>
      <c r="DK34" s="4">
        <v>2002.78</v>
      </c>
      <c r="DL34" s="4">
        <v>0</v>
      </c>
      <c r="DM34" s="4">
        <v>1000</v>
      </c>
      <c r="DN34" s="4">
        <v>8150.19</v>
      </c>
      <c r="DO34" s="4">
        <v>2004714.51</v>
      </c>
      <c r="DP34" s="4"/>
      <c r="DQ34" s="4"/>
      <c r="DR34" s="4">
        <v>32500</v>
      </c>
      <c r="DS34" s="4">
        <v>6387.41</v>
      </c>
      <c r="DT34" s="4">
        <v>318864.03000000003</v>
      </c>
      <c r="DU34" s="4">
        <v>0</v>
      </c>
      <c r="DV34" s="4">
        <v>0</v>
      </c>
      <c r="DW34" s="4"/>
      <c r="DX34" s="4">
        <v>28068.34</v>
      </c>
      <c r="DY34" s="4">
        <v>2554.0300000000002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43525.04</v>
      </c>
      <c r="EH34" s="4">
        <v>0</v>
      </c>
      <c r="EI34" s="4">
        <v>5984.15</v>
      </c>
      <c r="EJ34" s="4">
        <v>0</v>
      </c>
      <c r="EK34" s="4">
        <v>10940</v>
      </c>
      <c r="EL34" s="4">
        <v>1740.53</v>
      </c>
      <c r="EM34" s="4">
        <v>0</v>
      </c>
      <c r="EN34" s="4">
        <f>3000+8180.44</f>
        <v>11180.439999999999</v>
      </c>
      <c r="EO34" s="4">
        <f t="shared" si="28"/>
        <v>4569053.9399999995</v>
      </c>
      <c r="EP34" s="4">
        <v>4569053.9400000004</v>
      </c>
      <c r="EQ34" s="4">
        <f t="shared" si="32"/>
        <v>0</v>
      </c>
      <c r="ER34" s="4">
        <f>795284-41032</f>
        <v>754252</v>
      </c>
      <c r="ES34" s="4">
        <v>41032</v>
      </c>
      <c r="ET34" s="4"/>
      <c r="EU34" s="7"/>
      <c r="EV34" s="4">
        <f t="shared" si="20"/>
        <v>344341.63</v>
      </c>
      <c r="EW34" s="4">
        <f t="shared" si="21"/>
        <v>0</v>
      </c>
      <c r="EX34" s="4">
        <f t="shared" si="22"/>
        <v>2037214.51</v>
      </c>
      <c r="EY34" s="4">
        <f t="shared" si="23"/>
        <v>1520980.86</v>
      </c>
      <c r="EZ34" s="4">
        <f t="shared" si="24"/>
        <v>666516.94000000006</v>
      </c>
      <c r="FA34" s="13">
        <v>0</v>
      </c>
      <c r="FB34" s="13">
        <f t="shared" si="9"/>
        <v>4569053.9400000004</v>
      </c>
      <c r="FC34" s="13">
        <f t="shared" si="10"/>
        <v>0</v>
      </c>
      <c r="FD34" s="12"/>
      <c r="FE34" s="13">
        <f t="shared" si="11"/>
        <v>4154446.97</v>
      </c>
      <c r="FF34" s="13">
        <f t="shared" si="12"/>
        <v>4224712.3100000005</v>
      </c>
      <c r="FG34" s="13">
        <f t="shared" si="13"/>
        <v>-70265.340000000317</v>
      </c>
      <c r="FH34" s="13">
        <f t="shared" si="14"/>
        <v>1966949.1699999995</v>
      </c>
    </row>
    <row r="35" spans="1:164" x14ac:dyDescent="0.35">
      <c r="A35">
        <v>1851</v>
      </c>
      <c r="B35" s="4">
        <v>43152.959999999999</v>
      </c>
      <c r="C35" s="4">
        <v>21050</v>
      </c>
      <c r="D35" s="4">
        <v>50266.47</v>
      </c>
      <c r="E35" s="4">
        <v>0</v>
      </c>
      <c r="F35" s="4">
        <v>475.46</v>
      </c>
      <c r="G35" s="4">
        <v>233783.65</v>
      </c>
      <c r="H35" s="4">
        <v>0</v>
      </c>
      <c r="I35" s="4">
        <v>0</v>
      </c>
      <c r="J35" s="4">
        <v>0</v>
      </c>
      <c r="K35" s="4">
        <v>159046.96</v>
      </c>
      <c r="L35" s="4">
        <v>1372170.37</v>
      </c>
      <c r="M35" s="4">
        <v>16995.8</v>
      </c>
      <c r="N35" s="4">
        <v>44928.65</v>
      </c>
      <c r="O35" s="4">
        <v>0</v>
      </c>
      <c r="P35" s="4">
        <v>5035</v>
      </c>
      <c r="Q35" s="4">
        <v>138724.96</v>
      </c>
      <c r="R35" s="4">
        <v>9514.7099999999991</v>
      </c>
      <c r="S35" s="4">
        <v>100075.31</v>
      </c>
      <c r="T35" s="4">
        <v>0</v>
      </c>
      <c r="U35" s="4">
        <v>0</v>
      </c>
      <c r="V35" s="4">
        <v>2023.54</v>
      </c>
      <c r="W35" s="4">
        <v>0</v>
      </c>
      <c r="X35" s="4">
        <v>150625.48000000001</v>
      </c>
      <c r="Y35" s="4">
        <v>403.7</v>
      </c>
      <c r="Z35" s="4">
        <v>8946.65</v>
      </c>
      <c r="AA35" s="4">
        <v>3524.6</v>
      </c>
      <c r="AB35" s="4">
        <v>169906.89</v>
      </c>
      <c r="AC35" s="4">
        <v>0</v>
      </c>
      <c r="AD35" s="4">
        <v>0</v>
      </c>
      <c r="AE35" s="4">
        <v>1847.45</v>
      </c>
      <c r="AF35" s="4">
        <v>6005.24</v>
      </c>
      <c r="AG35" s="4">
        <v>3056.3</v>
      </c>
      <c r="AH35" s="4">
        <v>3601</v>
      </c>
      <c r="AI35" s="4">
        <v>3177.4</v>
      </c>
      <c r="AJ35" s="4">
        <v>7378.3</v>
      </c>
      <c r="AK35" s="4">
        <v>2782.01</v>
      </c>
      <c r="AL35" s="4">
        <v>1225.47</v>
      </c>
      <c r="AM35" s="4">
        <v>1719788.54</v>
      </c>
      <c r="AN35" s="4">
        <v>0</v>
      </c>
      <c r="AO35" s="4">
        <v>0</v>
      </c>
      <c r="AP35" s="4">
        <v>0</v>
      </c>
      <c r="AQ35" s="4">
        <v>734.88</v>
      </c>
      <c r="AR35" s="4">
        <v>0</v>
      </c>
      <c r="AS35" s="4">
        <v>0</v>
      </c>
      <c r="AT35" s="4">
        <v>0</v>
      </c>
      <c r="AU35" s="4">
        <v>0</v>
      </c>
      <c r="AV35" s="4">
        <v>5229.5</v>
      </c>
      <c r="AW35" s="4">
        <v>0</v>
      </c>
      <c r="AX35" s="4">
        <v>14580</v>
      </c>
      <c r="AY35" s="4">
        <v>0</v>
      </c>
      <c r="AZ35" s="4">
        <v>98000</v>
      </c>
      <c r="BA35" s="4">
        <v>0</v>
      </c>
      <c r="BB35" s="4">
        <v>0</v>
      </c>
      <c r="BC35" s="4">
        <v>22276.21</v>
      </c>
      <c r="BD35" s="4">
        <v>2707.22</v>
      </c>
      <c r="BE35" s="4">
        <v>0</v>
      </c>
      <c r="BF35" s="4">
        <v>124873.2</v>
      </c>
      <c r="BG35" s="4">
        <v>0</v>
      </c>
      <c r="BH35" s="4">
        <v>0</v>
      </c>
      <c r="BI35" s="4">
        <v>0</v>
      </c>
      <c r="BJ35" s="4">
        <v>21074.63</v>
      </c>
      <c r="BK35" s="4">
        <v>0</v>
      </c>
      <c r="BL35" s="4">
        <v>1405.42</v>
      </c>
      <c r="BM35" s="4">
        <f t="shared" si="31"/>
        <v>4570393.93</v>
      </c>
      <c r="BN35" s="4">
        <v>4570393.93</v>
      </c>
      <c r="BO35" s="4">
        <f t="shared" si="1"/>
        <v>0</v>
      </c>
      <c r="BP35" s="4">
        <v>754252.81</v>
      </c>
      <c r="BQ35" s="4">
        <v>41032</v>
      </c>
      <c r="BR35" s="4">
        <v>280000</v>
      </c>
      <c r="BS35" s="7"/>
      <c r="BT35" s="4">
        <f t="shared" si="15"/>
        <v>2335070.08</v>
      </c>
      <c r="BU35" s="9">
        <f t="shared" si="16"/>
        <v>25458.89</v>
      </c>
      <c r="BV35" s="9">
        <f t="shared" si="17"/>
        <v>1720523.42</v>
      </c>
      <c r="BW35" s="9">
        <f t="shared" si="2"/>
        <v>266468.33999999997</v>
      </c>
      <c r="BX35" s="9">
        <f t="shared" si="3"/>
        <v>0</v>
      </c>
      <c r="BY35" s="9">
        <f t="shared" si="4"/>
        <v>222873.2</v>
      </c>
      <c r="BZ35" s="9">
        <f t="shared" si="18"/>
        <v>4570393.9300000006</v>
      </c>
      <c r="CA35" s="9">
        <f t="shared" si="5"/>
        <v>0</v>
      </c>
      <c r="CB35" s="7"/>
      <c r="CC35" s="4">
        <v>1823709.92</v>
      </c>
      <c r="CD35" s="4"/>
      <c r="CE35" s="4"/>
      <c r="CF35" s="4">
        <f t="shared" si="29"/>
        <v>1823709.92</v>
      </c>
      <c r="CG35" s="4">
        <f t="shared" si="26"/>
        <v>0</v>
      </c>
      <c r="CH35" s="4">
        <v>0</v>
      </c>
      <c r="CI35" s="4"/>
      <c r="CJ35" s="4"/>
      <c r="CK35" s="4"/>
      <c r="CL35" s="4"/>
      <c r="CM35" s="4"/>
      <c r="CN35" s="4">
        <v>0</v>
      </c>
      <c r="CO35" s="4">
        <v>0</v>
      </c>
      <c r="CP35" s="4">
        <v>245085.15</v>
      </c>
      <c r="CQ35" s="4">
        <v>3638.49</v>
      </c>
      <c r="CR35" s="4">
        <v>14342.12</v>
      </c>
      <c r="CS35" s="4">
        <v>0</v>
      </c>
      <c r="CT35" s="4">
        <v>0</v>
      </c>
      <c r="CU35" s="4">
        <v>15524.81</v>
      </c>
      <c r="CV35" s="4">
        <v>100381.21</v>
      </c>
      <c r="CW35" s="4">
        <v>164620.26</v>
      </c>
      <c r="CX35" s="4">
        <v>0</v>
      </c>
      <c r="CY35" s="4">
        <v>15082.74</v>
      </c>
      <c r="CZ35" s="4">
        <v>0</v>
      </c>
      <c r="DA35" s="4">
        <v>6000</v>
      </c>
      <c r="DB35" s="4">
        <v>3934.7</v>
      </c>
      <c r="DC35" s="4">
        <v>7937.5</v>
      </c>
      <c r="DD35" s="4">
        <v>0</v>
      </c>
      <c r="DE35" s="4">
        <v>0</v>
      </c>
      <c r="DF35" s="4">
        <v>3034.5</v>
      </c>
      <c r="DG35" s="4">
        <v>2250</v>
      </c>
      <c r="DH35" s="4">
        <v>0</v>
      </c>
      <c r="DI35" s="4">
        <v>0</v>
      </c>
      <c r="DJ35" s="4">
        <v>0</v>
      </c>
      <c r="DK35" s="4">
        <v>5704.46</v>
      </c>
      <c r="DL35" s="4">
        <v>0</v>
      </c>
      <c r="DM35" s="4">
        <v>625</v>
      </c>
      <c r="DN35" s="4">
        <v>11241</v>
      </c>
      <c r="DO35" s="4">
        <v>2020360.87</v>
      </c>
      <c r="DP35" s="4"/>
      <c r="DQ35" s="4"/>
      <c r="DR35" s="4">
        <v>34416.67</v>
      </c>
      <c r="DS35" s="4">
        <v>6494.94</v>
      </c>
      <c r="DT35" s="4">
        <v>185138.91</v>
      </c>
      <c r="DU35" s="4">
        <v>0</v>
      </c>
      <c r="DV35" s="4">
        <v>0</v>
      </c>
      <c r="DW35" s="4"/>
      <c r="DX35" s="4">
        <v>46580.3</v>
      </c>
      <c r="DY35" s="4">
        <v>408.37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46037.74</v>
      </c>
      <c r="EH35" s="4">
        <v>391.5</v>
      </c>
      <c r="EI35" s="4">
        <f>3273.8+4114.97</f>
        <v>7388.77</v>
      </c>
      <c r="EJ35" s="8">
        <v>2000</v>
      </c>
      <c r="EK35" s="4">
        <v>0</v>
      </c>
      <c r="EL35" s="4">
        <v>296.45</v>
      </c>
      <c r="EM35" s="4">
        <v>0</v>
      </c>
      <c r="EN35" s="4">
        <f>400+7641.15</f>
        <v>8041.15</v>
      </c>
      <c r="EO35" s="4">
        <f t="shared" si="28"/>
        <v>4780667.53</v>
      </c>
      <c r="EP35" s="4">
        <v>4780667.53</v>
      </c>
      <c r="EQ35" s="4">
        <f t="shared" si="32"/>
        <v>0</v>
      </c>
      <c r="ER35" s="4">
        <v>543979.21</v>
      </c>
      <c r="ES35" s="4">
        <v>41032</v>
      </c>
      <c r="ET35" s="4">
        <v>280000</v>
      </c>
      <c r="EU35" s="7"/>
      <c r="EV35" s="4">
        <f t="shared" si="20"/>
        <v>204874.85</v>
      </c>
      <c r="EW35" s="4">
        <f t="shared" si="21"/>
        <v>0</v>
      </c>
      <c r="EX35" s="4">
        <f t="shared" si="22"/>
        <v>2054777.54</v>
      </c>
      <c r="EY35" s="4">
        <f t="shared" si="23"/>
        <v>1883932.18</v>
      </c>
      <c r="EZ35" s="4">
        <f t="shared" si="24"/>
        <v>637082.96</v>
      </c>
      <c r="FA35" s="13">
        <v>0</v>
      </c>
      <c r="FB35" s="13">
        <f t="shared" si="9"/>
        <v>4780667.53</v>
      </c>
      <c r="FC35" s="13">
        <f t="shared" si="10"/>
        <v>0</v>
      </c>
      <c r="FD35" s="12"/>
      <c r="FE35" s="13">
        <f t="shared" si="11"/>
        <v>4347520.7300000004</v>
      </c>
      <c r="FF35" s="13">
        <f t="shared" si="12"/>
        <v>4575792.68</v>
      </c>
      <c r="FG35" s="13">
        <f t="shared" si="13"/>
        <v>-228271.94999999925</v>
      </c>
      <c r="FH35" s="13">
        <f t="shared" si="14"/>
        <v>1826505.5900000008</v>
      </c>
    </row>
    <row r="36" spans="1:164" x14ac:dyDescent="0.35">
      <c r="A36">
        <v>1852</v>
      </c>
      <c r="B36" s="4">
        <v>40223.410000000003</v>
      </c>
      <c r="C36" s="4">
        <v>18525</v>
      </c>
      <c r="D36" s="4">
        <v>57110.76</v>
      </c>
      <c r="E36" s="4">
        <v>0</v>
      </c>
      <c r="F36" s="4">
        <v>419.52</v>
      </c>
      <c r="G36" s="4">
        <v>146960.07</v>
      </c>
      <c r="H36" s="4">
        <v>0</v>
      </c>
      <c r="I36" s="4">
        <v>0</v>
      </c>
      <c r="J36" s="4">
        <v>0</v>
      </c>
      <c r="K36" s="4">
        <v>210542.3</v>
      </c>
      <c r="L36" s="4">
        <v>1359636.3</v>
      </c>
      <c r="M36" s="4">
        <v>10841.87</v>
      </c>
      <c r="N36" s="4">
        <v>56671.74</v>
      </c>
      <c r="O36" s="4">
        <v>705.85</v>
      </c>
      <c r="P36" s="4">
        <v>3070</v>
      </c>
      <c r="Q36" s="4">
        <v>118444.16</v>
      </c>
      <c r="R36" s="4">
        <v>21270.66</v>
      </c>
      <c r="S36" s="4">
        <v>100120.11</v>
      </c>
      <c r="T36" s="4">
        <v>0</v>
      </c>
      <c r="U36" s="4">
        <v>601.24</v>
      </c>
      <c r="V36" s="4">
        <v>1688.38</v>
      </c>
      <c r="W36" s="4">
        <v>0</v>
      </c>
      <c r="X36" s="4">
        <v>143141.65</v>
      </c>
      <c r="Y36" s="4">
        <v>413.19</v>
      </c>
      <c r="Z36" s="4">
        <v>12217.93</v>
      </c>
      <c r="AA36" s="4">
        <v>2268.21</v>
      </c>
      <c r="AB36" s="4">
        <v>109268.67</v>
      </c>
      <c r="AC36" s="4">
        <v>0</v>
      </c>
      <c r="AD36" s="4">
        <v>0</v>
      </c>
      <c r="AE36" s="4">
        <v>2282.14</v>
      </c>
      <c r="AF36" s="4">
        <v>4780.18</v>
      </c>
      <c r="AG36" s="4">
        <v>2864.98</v>
      </c>
      <c r="AH36" s="4">
        <v>2813.25</v>
      </c>
      <c r="AI36" s="4">
        <v>1851.36</v>
      </c>
      <c r="AJ36" s="4">
        <v>7414.84</v>
      </c>
      <c r="AK36" s="4">
        <v>1905.54</v>
      </c>
      <c r="AL36" s="4">
        <v>1098.98</v>
      </c>
      <c r="AM36" s="4">
        <v>1938574.43</v>
      </c>
      <c r="AN36" s="4">
        <v>0</v>
      </c>
      <c r="AO36" s="4">
        <v>0</v>
      </c>
      <c r="AP36" s="4">
        <v>0</v>
      </c>
      <c r="AQ36" s="4">
        <v>244.72</v>
      </c>
      <c r="AR36" s="4">
        <v>10000</v>
      </c>
      <c r="AS36" s="4">
        <v>0</v>
      </c>
      <c r="AT36" s="4">
        <v>0</v>
      </c>
      <c r="AU36" s="4">
        <v>200</v>
      </c>
      <c r="AV36" s="4">
        <v>0</v>
      </c>
      <c r="AW36" s="4">
        <v>0</v>
      </c>
      <c r="AX36" s="4">
        <v>63408.66</v>
      </c>
      <c r="AY36" s="4">
        <v>0</v>
      </c>
      <c r="AZ36" s="4">
        <v>3154666.67</v>
      </c>
      <c r="BA36" s="4">
        <v>30323.13</v>
      </c>
      <c r="BB36" s="4">
        <v>0</v>
      </c>
      <c r="BC36" s="4">
        <v>2757.64</v>
      </c>
      <c r="BD36" s="4">
        <v>20264.13</v>
      </c>
      <c r="BE36" s="4">
        <v>0</v>
      </c>
      <c r="BF36" s="4">
        <v>52562.5</v>
      </c>
      <c r="BG36" s="4">
        <v>0</v>
      </c>
      <c r="BH36" s="4">
        <v>0</v>
      </c>
      <c r="BI36" s="4">
        <v>0</v>
      </c>
      <c r="BJ36" s="4">
        <v>3945.41</v>
      </c>
      <c r="BK36" s="4">
        <v>0</v>
      </c>
      <c r="BL36" s="4">
        <v>452.59</v>
      </c>
      <c r="BM36" s="4">
        <f t="shared" si="31"/>
        <v>7716552.169999999</v>
      </c>
      <c r="BN36" s="4">
        <v>7716552.1699999999</v>
      </c>
      <c r="BO36" s="4">
        <f t="shared" si="1"/>
        <v>0</v>
      </c>
      <c r="BP36" s="4">
        <v>542539.21</v>
      </c>
      <c r="BQ36" s="4">
        <v>41032</v>
      </c>
      <c r="BR36" s="4">
        <v>280000</v>
      </c>
      <c r="BS36" s="7"/>
      <c r="BT36" s="4">
        <f t="shared" si="15"/>
        <v>2224211.5900000003</v>
      </c>
      <c r="BU36" s="9">
        <f t="shared" si="16"/>
        <v>33641.29</v>
      </c>
      <c r="BV36" s="9">
        <f t="shared" si="17"/>
        <v>1938819.15</v>
      </c>
      <c r="BW36" s="9">
        <f t="shared" si="2"/>
        <v>282327.83999999997</v>
      </c>
      <c r="BX36" s="9">
        <f t="shared" si="3"/>
        <v>0</v>
      </c>
      <c r="BY36" s="9">
        <f t="shared" si="4"/>
        <v>3237552.3</v>
      </c>
      <c r="BZ36" s="9">
        <f t="shared" si="18"/>
        <v>7716552.1699999999</v>
      </c>
      <c r="CA36" s="9">
        <f t="shared" si="5"/>
        <v>0</v>
      </c>
      <c r="CB36" s="7"/>
      <c r="CC36" s="4">
        <v>2224379.5299999998</v>
      </c>
      <c r="CD36" s="4"/>
      <c r="CE36" s="4"/>
      <c r="CF36" s="4">
        <f t="shared" si="29"/>
        <v>2224379.5299999998</v>
      </c>
      <c r="CG36" s="4">
        <f t="shared" si="26"/>
        <v>0</v>
      </c>
      <c r="CH36" s="4">
        <v>0</v>
      </c>
      <c r="CI36" s="4"/>
      <c r="CJ36" s="4"/>
      <c r="CK36" s="4"/>
      <c r="CL36" s="4"/>
      <c r="CM36" s="4"/>
      <c r="CN36" s="4">
        <v>0</v>
      </c>
      <c r="CO36" s="4">
        <v>2000</v>
      </c>
      <c r="CP36" s="4">
        <v>258591.78</v>
      </c>
      <c r="CQ36" s="4">
        <v>1934.35</v>
      </c>
      <c r="CR36" s="4">
        <v>12973.75</v>
      </c>
      <c r="CS36" s="4">
        <v>0</v>
      </c>
      <c r="CT36" s="4">
        <v>0</v>
      </c>
      <c r="CU36" s="4">
        <v>12885.21</v>
      </c>
      <c r="CV36" s="4">
        <v>76763.33</v>
      </c>
      <c r="CW36" s="4">
        <v>165109.63</v>
      </c>
      <c r="CX36" s="4">
        <v>0</v>
      </c>
      <c r="CY36" s="4">
        <v>43932.5</v>
      </c>
      <c r="CZ36" s="4">
        <v>0</v>
      </c>
      <c r="DA36" s="4">
        <v>15000</v>
      </c>
      <c r="DB36" s="4">
        <v>90</v>
      </c>
      <c r="DC36" s="4">
        <v>3500</v>
      </c>
      <c r="DD36" s="4">
        <v>0</v>
      </c>
      <c r="DE36" s="4">
        <v>0</v>
      </c>
      <c r="DF36" s="4">
        <v>208.75</v>
      </c>
      <c r="DG36" s="4">
        <v>5875</v>
      </c>
      <c r="DH36" s="4">
        <v>2000</v>
      </c>
      <c r="DI36" s="4">
        <v>0</v>
      </c>
      <c r="DJ36" s="4">
        <v>0</v>
      </c>
      <c r="DK36" s="4">
        <v>13594.55</v>
      </c>
      <c r="DL36" s="4">
        <v>0</v>
      </c>
      <c r="DM36" s="4">
        <v>1000</v>
      </c>
      <c r="DN36" s="4">
        <v>1568355.45</v>
      </c>
      <c r="DO36" s="4">
        <v>2152734.44</v>
      </c>
      <c r="DP36" s="4"/>
      <c r="DQ36" s="4"/>
      <c r="DR36" s="4">
        <v>21882.959999999999</v>
      </c>
      <c r="DS36" s="4">
        <v>44648.85</v>
      </c>
      <c r="DT36" s="4">
        <v>115836.35</v>
      </c>
      <c r="DU36" s="4">
        <v>0</v>
      </c>
      <c r="DV36" s="4">
        <v>0</v>
      </c>
      <c r="DW36" s="4"/>
      <c r="DX36" s="4">
        <v>69942.2</v>
      </c>
      <c r="DY36" s="4">
        <v>13312.5</v>
      </c>
      <c r="DZ36" s="4">
        <v>0</v>
      </c>
      <c r="EA36" s="4">
        <v>0</v>
      </c>
      <c r="EB36" s="4">
        <v>0</v>
      </c>
      <c r="EC36" s="4">
        <v>13</v>
      </c>
      <c r="ED36" s="4">
        <v>0</v>
      </c>
      <c r="EE36" s="4">
        <v>0</v>
      </c>
      <c r="EF36" s="4">
        <v>0</v>
      </c>
      <c r="EG36" s="4">
        <v>32925.120000000003</v>
      </c>
      <c r="EH36" s="4">
        <v>449.69</v>
      </c>
      <c r="EI36" s="4">
        <v>10893</v>
      </c>
      <c r="EJ36" s="4">
        <v>0</v>
      </c>
      <c r="EK36" s="4">
        <v>0</v>
      </c>
      <c r="EL36" s="4">
        <v>575.08000000000004</v>
      </c>
      <c r="EM36" s="4">
        <v>0</v>
      </c>
      <c r="EN36" s="4">
        <v>5073.3599999999997</v>
      </c>
      <c r="EO36" s="4">
        <f t="shared" si="28"/>
        <v>6876480.3800000008</v>
      </c>
      <c r="EP36" s="4">
        <v>6876480.3799999999</v>
      </c>
      <c r="EQ36" s="4">
        <f t="shared" si="32"/>
        <v>0</v>
      </c>
      <c r="ER36" s="4">
        <v>1382611</v>
      </c>
      <c r="ES36" s="4">
        <v>41032</v>
      </c>
      <c r="ET36" s="4">
        <v>280000</v>
      </c>
      <c r="EU36" s="7"/>
      <c r="EV36" s="4">
        <f t="shared" si="20"/>
        <v>1728840.6500000001</v>
      </c>
      <c r="EW36" s="4">
        <f t="shared" si="21"/>
        <v>0</v>
      </c>
      <c r="EX36" s="4">
        <f t="shared" si="22"/>
        <v>2174617.4</v>
      </c>
      <c r="EY36" s="4">
        <f t="shared" si="23"/>
        <v>2313416.2799999998</v>
      </c>
      <c r="EZ36" s="4">
        <f t="shared" si="24"/>
        <v>659606.04999999993</v>
      </c>
      <c r="FA36" s="13">
        <v>0</v>
      </c>
      <c r="FB36" s="13">
        <f t="shared" si="9"/>
        <v>6876480.3799999999</v>
      </c>
      <c r="FC36" s="13">
        <f t="shared" si="10"/>
        <v>0</v>
      </c>
      <c r="FD36" s="12"/>
      <c r="FE36" s="13">
        <f t="shared" si="11"/>
        <v>4478999.87</v>
      </c>
      <c r="FF36" s="13">
        <f t="shared" si="12"/>
        <v>5147639.7299999995</v>
      </c>
      <c r="FG36" s="13">
        <f t="shared" si="13"/>
        <v>-668639.8599999994</v>
      </c>
      <c r="FH36" s="13">
        <f t="shared" si="14"/>
        <v>1505977.5400000005</v>
      </c>
    </row>
    <row r="37" spans="1:164" x14ac:dyDescent="0.35">
      <c r="A37">
        <v>1853</v>
      </c>
      <c r="B37" s="4">
        <v>37904.089999999997</v>
      </c>
      <c r="C37" s="4">
        <v>18123.75</v>
      </c>
      <c r="D37" s="4">
        <v>56747.05</v>
      </c>
      <c r="E37" s="4">
        <v>0</v>
      </c>
      <c r="F37" s="4">
        <v>374.79</v>
      </c>
      <c r="G37" s="4">
        <v>220004.33</v>
      </c>
      <c r="H37" s="4">
        <v>0</v>
      </c>
      <c r="I37" s="4">
        <v>0</v>
      </c>
      <c r="J37" s="4">
        <v>0</v>
      </c>
      <c r="K37" s="4">
        <v>171589.92</v>
      </c>
      <c r="L37" s="4">
        <v>1381550.59</v>
      </c>
      <c r="M37" s="4">
        <v>24694.77</v>
      </c>
      <c r="N37" s="4">
        <v>51296.160000000003</v>
      </c>
      <c r="O37" s="4">
        <v>0</v>
      </c>
      <c r="P37" s="4">
        <v>6715</v>
      </c>
      <c r="Q37" s="4">
        <v>124068.19</v>
      </c>
      <c r="R37" s="4">
        <v>67227.22</v>
      </c>
      <c r="S37" s="4">
        <v>96992.31</v>
      </c>
      <c r="T37" s="4">
        <v>0</v>
      </c>
      <c r="U37" s="4">
        <v>3727.8</v>
      </c>
      <c r="V37" s="4">
        <v>753.59</v>
      </c>
      <c r="W37" s="4">
        <v>0</v>
      </c>
      <c r="X37" s="4">
        <v>155401.54999999999</v>
      </c>
      <c r="Y37" s="4">
        <v>320.20999999999998</v>
      </c>
      <c r="Z37" s="4">
        <v>12718.32</v>
      </c>
      <c r="AA37" s="4">
        <v>2494.73</v>
      </c>
      <c r="AB37" s="4">
        <v>177039.19</v>
      </c>
      <c r="AC37" s="4">
        <v>8712.5</v>
      </c>
      <c r="AD37" s="4">
        <v>0</v>
      </c>
      <c r="AE37" s="4">
        <v>1973.65</v>
      </c>
      <c r="AF37" s="4">
        <v>3020.43</v>
      </c>
      <c r="AG37" s="4">
        <v>2496.1</v>
      </c>
      <c r="AH37" s="4">
        <v>3561.5</v>
      </c>
      <c r="AI37" s="4">
        <v>2108.02</v>
      </c>
      <c r="AJ37" s="4">
        <v>7540.15</v>
      </c>
      <c r="AK37" s="4">
        <v>2255.37</v>
      </c>
      <c r="AL37" s="4">
        <v>735</v>
      </c>
      <c r="AM37" s="4">
        <v>1893246.5</v>
      </c>
      <c r="AN37" s="4">
        <v>0</v>
      </c>
      <c r="AO37" s="4">
        <v>0</v>
      </c>
      <c r="AP37" s="4">
        <v>0</v>
      </c>
      <c r="AQ37" s="4">
        <v>15</v>
      </c>
      <c r="AR37" s="4">
        <v>10000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413271.25</v>
      </c>
      <c r="AY37" s="4">
        <v>0</v>
      </c>
      <c r="AZ37" s="4">
        <v>4205333.33</v>
      </c>
      <c r="BA37" s="4">
        <v>104004</v>
      </c>
      <c r="BB37" s="4">
        <v>0</v>
      </c>
      <c r="BC37" s="4">
        <v>15027.78</v>
      </c>
      <c r="BD37" s="4">
        <v>34093.25</v>
      </c>
      <c r="BE37" s="4">
        <v>0</v>
      </c>
      <c r="BF37" s="4">
        <v>164662.54</v>
      </c>
      <c r="BG37" s="4">
        <v>0</v>
      </c>
      <c r="BH37" s="4">
        <v>0</v>
      </c>
      <c r="BI37" s="4">
        <v>0</v>
      </c>
      <c r="BJ37" s="4">
        <v>2250.7600000000002</v>
      </c>
      <c r="BK37" s="4">
        <v>0</v>
      </c>
      <c r="BL37" s="4">
        <v>2719.39</v>
      </c>
      <c r="BM37" s="4">
        <f t="shared" si="31"/>
        <v>9486770.0799999982</v>
      </c>
      <c r="BN37" s="4">
        <v>9486770.0800000001</v>
      </c>
      <c r="BO37" s="4">
        <f t="shared" si="1"/>
        <v>0</v>
      </c>
      <c r="BP37" s="4">
        <v>1382611</v>
      </c>
      <c r="BQ37" s="4">
        <v>41032</v>
      </c>
      <c r="BR37" s="4"/>
      <c r="BS37" s="7"/>
      <c r="BT37" s="4">
        <f t="shared" si="15"/>
        <v>2417303.5699999998</v>
      </c>
      <c r="BU37" s="9">
        <f t="shared" si="16"/>
        <v>59495.82</v>
      </c>
      <c r="BV37" s="9">
        <f t="shared" si="17"/>
        <v>1893261.5</v>
      </c>
      <c r="BW37" s="9">
        <f t="shared" si="2"/>
        <v>642709.31999999995</v>
      </c>
      <c r="BX37" s="9">
        <f t="shared" si="3"/>
        <v>0</v>
      </c>
      <c r="BY37" s="9">
        <f t="shared" si="4"/>
        <v>4473999.87</v>
      </c>
      <c r="BZ37" s="9">
        <f t="shared" si="18"/>
        <v>9486770.0800000001</v>
      </c>
      <c r="CA37" s="9">
        <f t="shared" si="5"/>
        <v>0</v>
      </c>
      <c r="CB37" s="7"/>
      <c r="CC37" s="4">
        <v>2755936.64</v>
      </c>
      <c r="CD37" s="4"/>
      <c r="CE37" s="4"/>
      <c r="CF37" s="4">
        <f t="shared" si="29"/>
        <v>2755936.64</v>
      </c>
      <c r="CG37" s="4">
        <f t="shared" si="26"/>
        <v>0</v>
      </c>
      <c r="CH37" s="4">
        <v>0</v>
      </c>
      <c r="CI37" s="4"/>
      <c r="CJ37" s="4"/>
      <c r="CK37" s="4"/>
      <c r="CL37" s="4"/>
      <c r="CM37" s="4"/>
      <c r="CN37" s="4">
        <v>0</v>
      </c>
      <c r="CO37" s="4">
        <v>4000</v>
      </c>
      <c r="CP37" s="4">
        <v>253160.39</v>
      </c>
      <c r="CQ37" s="4">
        <v>2236.37</v>
      </c>
      <c r="CR37" s="4">
        <v>814</v>
      </c>
      <c r="CS37" s="4">
        <v>0</v>
      </c>
      <c r="CT37" s="4">
        <v>0</v>
      </c>
      <c r="CU37" s="4">
        <v>12857.31</v>
      </c>
      <c r="CV37" s="4">
        <v>57113.58</v>
      </c>
      <c r="CW37" s="4">
        <v>164852.48000000001</v>
      </c>
      <c r="CX37" s="4">
        <v>0</v>
      </c>
      <c r="CY37" s="4">
        <v>31083</v>
      </c>
      <c r="CZ37" s="4">
        <v>0</v>
      </c>
      <c r="DA37" s="4">
        <v>21000</v>
      </c>
      <c r="DB37" s="4">
        <v>7.5</v>
      </c>
      <c r="DC37" s="4">
        <v>5437.5</v>
      </c>
      <c r="DD37" s="4">
        <v>0</v>
      </c>
      <c r="DE37" s="4">
        <v>0</v>
      </c>
      <c r="DF37" s="4">
        <v>270</v>
      </c>
      <c r="DG37" s="4">
        <v>17288.52</v>
      </c>
      <c r="DH37" s="4">
        <v>2000</v>
      </c>
      <c r="DI37" s="4">
        <v>625</v>
      </c>
      <c r="DJ37" s="4">
        <v>0</v>
      </c>
      <c r="DK37" s="4">
        <v>2898.85</v>
      </c>
      <c r="DL37" s="4">
        <v>0</v>
      </c>
      <c r="DM37" s="4">
        <v>1350</v>
      </c>
      <c r="DN37" s="4">
        <v>4020287.26</v>
      </c>
      <c r="DO37" s="4">
        <v>2135853.7799999998</v>
      </c>
      <c r="DP37" s="4"/>
      <c r="DQ37" s="4"/>
      <c r="DR37" s="4">
        <v>17500</v>
      </c>
      <c r="DS37" s="4">
        <v>41185.160000000003</v>
      </c>
      <c r="DT37" s="4">
        <v>505057.55</v>
      </c>
      <c r="DU37" s="4">
        <v>0</v>
      </c>
      <c r="DV37" s="4">
        <v>0</v>
      </c>
      <c r="DW37" s="4"/>
      <c r="DX37" s="4">
        <v>24914.15</v>
      </c>
      <c r="DY37" s="4">
        <v>7467.71</v>
      </c>
      <c r="DZ37" s="4">
        <v>0</v>
      </c>
      <c r="EA37" s="4">
        <v>0</v>
      </c>
      <c r="EB37" s="4">
        <v>0</v>
      </c>
      <c r="EC37" s="4">
        <v>950.25</v>
      </c>
      <c r="ED37" s="4">
        <v>0</v>
      </c>
      <c r="EE37" s="4">
        <v>0</v>
      </c>
      <c r="EF37" s="4">
        <v>0</v>
      </c>
      <c r="EG37" s="4">
        <v>39052.28</v>
      </c>
      <c r="EH37" s="4">
        <v>587.65</v>
      </c>
      <c r="EI37" s="4">
        <v>7769.15</v>
      </c>
      <c r="EJ37" s="4">
        <v>0</v>
      </c>
      <c r="EK37" s="4">
        <v>30</v>
      </c>
      <c r="EL37" s="4">
        <v>543.61</v>
      </c>
      <c r="EM37" s="4">
        <v>0</v>
      </c>
      <c r="EN37" s="4">
        <f>1985.19+8848.9</f>
        <v>10834.09</v>
      </c>
      <c r="EO37" s="4">
        <f t="shared" si="28"/>
        <v>10144963.780000001</v>
      </c>
      <c r="EP37" s="4">
        <v>10144963.779999999</v>
      </c>
      <c r="EQ37" s="4">
        <f t="shared" si="32"/>
        <v>0</v>
      </c>
      <c r="ER37" s="4">
        <v>724417.35</v>
      </c>
      <c r="ES37" s="4">
        <v>41032</v>
      </c>
      <c r="ET37" s="4"/>
      <c r="EU37" s="7"/>
      <c r="EV37" s="4">
        <f t="shared" si="20"/>
        <v>4566559.97</v>
      </c>
      <c r="EW37" s="4">
        <f t="shared" si="21"/>
        <v>0</v>
      </c>
      <c r="EX37" s="4">
        <f t="shared" si="22"/>
        <v>2153353.7799999998</v>
      </c>
      <c r="EY37" s="4">
        <f t="shared" si="23"/>
        <v>2793187.14</v>
      </c>
      <c r="EZ37" s="4">
        <f t="shared" si="24"/>
        <v>631862.89</v>
      </c>
      <c r="FA37" s="13">
        <v>0</v>
      </c>
      <c r="FB37" s="13">
        <f t="shared" si="9"/>
        <v>10144963.780000001</v>
      </c>
      <c r="FC37" s="13">
        <f t="shared" si="10"/>
        <v>0</v>
      </c>
      <c r="FD37" s="12"/>
      <c r="FE37" s="13">
        <f t="shared" si="11"/>
        <v>5012770.21</v>
      </c>
      <c r="FF37" s="13">
        <f t="shared" si="12"/>
        <v>5578403.8099999996</v>
      </c>
      <c r="FG37" s="13">
        <f t="shared" si="13"/>
        <v>-565633.59999999963</v>
      </c>
      <c r="FH37" s="13">
        <f t="shared" si="14"/>
        <v>1587720.1800000002</v>
      </c>
    </row>
    <row r="38" spans="1:164" x14ac:dyDescent="0.35">
      <c r="A38">
        <v>1854</v>
      </c>
      <c r="B38" s="4">
        <v>28605.25</v>
      </c>
      <c r="C38" s="4">
        <v>23225</v>
      </c>
      <c r="D38" s="4">
        <v>65268.22</v>
      </c>
      <c r="E38" s="4">
        <v>0</v>
      </c>
      <c r="F38" s="4">
        <v>231.79</v>
      </c>
      <c r="G38" s="4">
        <v>274900.42</v>
      </c>
      <c r="H38" s="4">
        <v>0</v>
      </c>
      <c r="I38" s="4">
        <v>0</v>
      </c>
      <c r="J38" s="4">
        <v>0</v>
      </c>
      <c r="K38" s="4">
        <v>256554.12</v>
      </c>
      <c r="L38" s="4">
        <v>1510403.39</v>
      </c>
      <c r="M38" s="4">
        <v>24578.19</v>
      </c>
      <c r="N38" s="4">
        <v>55987.33</v>
      </c>
      <c r="O38" s="4">
        <v>1994.17</v>
      </c>
      <c r="P38" s="4">
        <v>5025</v>
      </c>
      <c r="Q38" s="4">
        <v>159175.1</v>
      </c>
      <c r="R38" s="4">
        <v>118205.11</v>
      </c>
      <c r="S38" s="4">
        <v>187602.15</v>
      </c>
      <c r="T38" s="4">
        <v>0</v>
      </c>
      <c r="U38" s="4">
        <v>2914.67</v>
      </c>
      <c r="V38" s="4">
        <v>9235.44</v>
      </c>
      <c r="W38" s="4">
        <v>0</v>
      </c>
      <c r="X38" s="4">
        <v>124042.4</v>
      </c>
      <c r="Y38" s="4">
        <v>417.31</v>
      </c>
      <c r="Z38" s="4">
        <v>29161.3</v>
      </c>
      <c r="AA38" s="4">
        <v>1559.36</v>
      </c>
      <c r="AB38" s="4">
        <v>281048.57</v>
      </c>
      <c r="AC38" s="4">
        <v>8542.5</v>
      </c>
      <c r="AD38" s="4">
        <v>0</v>
      </c>
      <c r="AE38" s="4">
        <v>3818.5</v>
      </c>
      <c r="AF38" s="4">
        <v>16564.64</v>
      </c>
      <c r="AG38" s="4">
        <v>3223.99</v>
      </c>
      <c r="AH38" s="4">
        <v>7866.5</v>
      </c>
      <c r="AI38" s="4">
        <v>3565.86</v>
      </c>
      <c r="AJ38" s="4">
        <v>20977.3</v>
      </c>
      <c r="AK38" s="4">
        <v>2765.19</v>
      </c>
      <c r="AL38" s="4">
        <v>1448.43</v>
      </c>
      <c r="AM38" s="4">
        <v>1918606.3</v>
      </c>
      <c r="AN38" s="4">
        <v>0</v>
      </c>
      <c r="AO38" s="4">
        <v>0</v>
      </c>
      <c r="AP38" s="4">
        <v>0</v>
      </c>
      <c r="AQ38" s="4">
        <v>10</v>
      </c>
      <c r="AR38" s="4">
        <v>10000</v>
      </c>
      <c r="AS38" s="4">
        <v>0</v>
      </c>
      <c r="AT38" s="4">
        <v>0</v>
      </c>
      <c r="AU38" s="4">
        <v>0</v>
      </c>
      <c r="AV38" s="4">
        <v>0</v>
      </c>
      <c r="AW38" s="4">
        <v>57</v>
      </c>
      <c r="AX38" s="4">
        <v>7521</v>
      </c>
      <c r="AY38" s="4">
        <v>0</v>
      </c>
      <c r="AZ38" s="4">
        <v>735435.67</v>
      </c>
      <c r="BA38" s="4">
        <v>0</v>
      </c>
      <c r="BB38" s="4">
        <v>0</v>
      </c>
      <c r="BC38" s="4">
        <v>24232.58</v>
      </c>
      <c r="BD38" s="4">
        <v>11607.17</v>
      </c>
      <c r="BE38" s="4">
        <v>0</v>
      </c>
      <c r="BF38" s="4">
        <v>12192.14</v>
      </c>
      <c r="BG38" s="4">
        <v>0</v>
      </c>
      <c r="BH38" s="4">
        <v>0</v>
      </c>
      <c r="BI38" s="4">
        <v>0</v>
      </c>
      <c r="BJ38" s="4">
        <v>3431.95</v>
      </c>
      <c r="BK38" s="4">
        <v>0</v>
      </c>
      <c r="BL38" s="4">
        <v>1670</v>
      </c>
      <c r="BM38" s="4">
        <f t="shared" si="31"/>
        <v>5953671.0099999988</v>
      </c>
      <c r="BN38" s="4">
        <v>5953670.6600000001</v>
      </c>
      <c r="BO38" s="4">
        <f t="shared" si="1"/>
        <v>0.3499999986961484</v>
      </c>
      <c r="BP38" s="4">
        <v>712241.35</v>
      </c>
      <c r="BQ38" s="4">
        <v>41032</v>
      </c>
      <c r="BR38" s="4"/>
      <c r="BS38" s="7"/>
      <c r="BT38" s="4">
        <f t="shared" si="15"/>
        <v>3023224.1499999994</v>
      </c>
      <c r="BU38" s="9">
        <f t="shared" si="16"/>
        <v>46071.54</v>
      </c>
      <c r="BV38" s="9">
        <f t="shared" si="17"/>
        <v>1918616.3</v>
      </c>
      <c r="BW38" s="9">
        <f t="shared" si="2"/>
        <v>218131.21</v>
      </c>
      <c r="BX38" s="9">
        <f t="shared" si="3"/>
        <v>0</v>
      </c>
      <c r="BY38" s="9">
        <f t="shared" si="4"/>
        <v>747627.81</v>
      </c>
      <c r="BZ38" s="9">
        <f t="shared" si="18"/>
        <v>5953671.0099999998</v>
      </c>
      <c r="CA38" s="9">
        <f t="shared" si="5"/>
        <v>0</v>
      </c>
      <c r="CB38" s="7"/>
      <c r="CC38" s="4">
        <v>2294357.4300000002</v>
      </c>
      <c r="CD38" s="4"/>
      <c r="CE38" s="4"/>
      <c r="CF38" s="4">
        <f t="shared" si="29"/>
        <v>2294357.4300000002</v>
      </c>
      <c r="CG38" s="4">
        <f t="shared" si="26"/>
        <v>0</v>
      </c>
      <c r="CH38" s="4">
        <v>0</v>
      </c>
      <c r="CI38" s="4"/>
      <c r="CJ38" s="4"/>
      <c r="CK38" s="4"/>
      <c r="CL38" s="4"/>
      <c r="CM38" s="4"/>
      <c r="CN38" s="4">
        <v>0</v>
      </c>
      <c r="CO38" s="4">
        <v>2000</v>
      </c>
      <c r="CP38" s="4">
        <v>290605.53999999998</v>
      </c>
      <c r="CQ38" s="4">
        <v>2314.54</v>
      </c>
      <c r="CR38" s="4">
        <v>1404</v>
      </c>
      <c r="CS38" s="4">
        <v>0</v>
      </c>
      <c r="CT38" s="4">
        <v>0</v>
      </c>
      <c r="CU38" s="4">
        <v>13562.34</v>
      </c>
      <c r="CV38" s="4">
        <v>52761.87</v>
      </c>
      <c r="CW38" s="4">
        <v>154762.04</v>
      </c>
      <c r="CX38" s="4">
        <v>0</v>
      </c>
      <c r="CY38" s="4">
        <v>16832</v>
      </c>
      <c r="CZ38" s="4">
        <v>0</v>
      </c>
      <c r="DA38" s="4">
        <v>22000</v>
      </c>
      <c r="DB38" s="4">
        <v>4.12</v>
      </c>
      <c r="DC38" s="4">
        <v>2000</v>
      </c>
      <c r="DD38" s="4">
        <v>0</v>
      </c>
      <c r="DE38" s="4">
        <v>0</v>
      </c>
      <c r="DF38" s="4">
        <v>3009.07</v>
      </c>
      <c r="DG38" s="4">
        <v>9795.1</v>
      </c>
      <c r="DH38" s="4">
        <v>2000</v>
      </c>
      <c r="DI38" s="4">
        <v>1250</v>
      </c>
      <c r="DJ38" s="4">
        <v>0</v>
      </c>
      <c r="DK38" s="4">
        <v>4842.6400000000003</v>
      </c>
      <c r="DL38" s="4">
        <v>0</v>
      </c>
      <c r="DM38" s="4">
        <v>2967.27</v>
      </c>
      <c r="DN38" s="4">
        <v>235888.4</v>
      </c>
      <c r="DO38" s="4">
        <v>2076288.13</v>
      </c>
      <c r="DP38" s="4"/>
      <c r="DQ38" s="4"/>
      <c r="DR38" s="4">
        <v>25517.5</v>
      </c>
      <c r="DS38" s="4">
        <v>1915.86</v>
      </c>
      <c r="DT38" s="4">
        <v>34456.660000000003</v>
      </c>
      <c r="DU38" s="4">
        <v>0</v>
      </c>
      <c r="DV38" s="4">
        <v>0</v>
      </c>
      <c r="DW38" s="4"/>
      <c r="DX38" s="4">
        <v>38651.85</v>
      </c>
      <c r="DY38" s="4">
        <v>1937.4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75178.179999999993</v>
      </c>
      <c r="EH38" s="4">
        <v>567.69000000000005</v>
      </c>
      <c r="EI38" s="4">
        <f>4333.19+11685.85</f>
        <v>16019.04</v>
      </c>
      <c r="EJ38" s="4">
        <v>0</v>
      </c>
      <c r="EK38" s="4">
        <v>13300</v>
      </c>
      <c r="EL38" s="4">
        <v>789.19</v>
      </c>
      <c r="EM38" s="4">
        <v>0</v>
      </c>
      <c r="EN38" s="4">
        <f>4359.5+23645.93</f>
        <v>28005.43</v>
      </c>
      <c r="EO38" s="4">
        <f t="shared" si="28"/>
        <v>5424983.29</v>
      </c>
      <c r="EP38" s="4">
        <v>5424983.29</v>
      </c>
      <c r="EQ38" s="4">
        <f t="shared" si="32"/>
        <v>0</v>
      </c>
      <c r="ER38" s="4">
        <v>1240928.72</v>
      </c>
      <c r="ES38" s="4">
        <v>41032</v>
      </c>
      <c r="ET38" s="4"/>
      <c r="EU38" s="7"/>
      <c r="EV38" s="4">
        <f t="shared" si="20"/>
        <v>285560.92</v>
      </c>
      <c r="EW38" s="4">
        <f t="shared" si="21"/>
        <v>0</v>
      </c>
      <c r="EX38" s="4">
        <f t="shared" si="22"/>
        <v>2101805.63</v>
      </c>
      <c r="EY38" s="4">
        <f t="shared" si="23"/>
        <v>2341851.9200000004</v>
      </c>
      <c r="EZ38" s="4">
        <f t="shared" si="24"/>
        <v>695764.82</v>
      </c>
      <c r="FA38" s="13">
        <v>0</v>
      </c>
      <c r="FB38" s="13">
        <f t="shared" si="9"/>
        <v>5424983.290000001</v>
      </c>
      <c r="FC38" s="13">
        <f t="shared" si="10"/>
        <v>0</v>
      </c>
      <c r="FD38" s="12"/>
      <c r="FE38" s="13">
        <f t="shared" si="11"/>
        <v>5206043.1999999993</v>
      </c>
      <c r="FF38" s="13">
        <f t="shared" si="12"/>
        <v>5139422.370000001</v>
      </c>
      <c r="FG38" s="13">
        <f t="shared" si="13"/>
        <v>66620.829999998212</v>
      </c>
      <c r="FH38" s="13">
        <f t="shared" si="14"/>
        <v>2168426.4599999981</v>
      </c>
    </row>
    <row r="39" spans="1:164" x14ac:dyDescent="0.35">
      <c r="A39">
        <v>1855</v>
      </c>
      <c r="B39" s="4">
        <v>17448.150000000001</v>
      </c>
      <c r="C39" s="4">
        <v>21273.75</v>
      </c>
      <c r="D39" s="4">
        <v>51926.559999999998</v>
      </c>
      <c r="E39" s="4">
        <v>0</v>
      </c>
      <c r="F39" s="4">
        <v>0</v>
      </c>
      <c r="G39" s="4">
        <v>345138.09</v>
      </c>
      <c r="H39" s="4">
        <v>0</v>
      </c>
      <c r="I39" s="4">
        <v>0</v>
      </c>
      <c r="J39" s="4">
        <v>0</v>
      </c>
      <c r="K39" s="4">
        <v>273631.48</v>
      </c>
      <c r="L39" s="4">
        <v>1721114.79</v>
      </c>
      <c r="M39" s="4">
        <v>20889.66</v>
      </c>
      <c r="N39" s="4">
        <v>59453.23</v>
      </c>
      <c r="O39" s="4">
        <v>0</v>
      </c>
      <c r="P39" s="4">
        <v>11985</v>
      </c>
      <c r="Q39" s="4">
        <v>140464.32999999999</v>
      </c>
      <c r="R39" s="4">
        <v>161125.25</v>
      </c>
      <c r="S39" s="4">
        <v>82259.86</v>
      </c>
      <c r="T39" s="4">
        <v>0</v>
      </c>
      <c r="U39" s="4">
        <v>0</v>
      </c>
      <c r="V39" s="4">
        <v>4185.6099999999997</v>
      </c>
      <c r="W39" s="4">
        <v>0</v>
      </c>
      <c r="X39" s="4">
        <v>117970.26</v>
      </c>
      <c r="Y39" s="4">
        <v>304.45</v>
      </c>
      <c r="Z39" s="4">
        <v>19627.79</v>
      </c>
      <c r="AA39" s="4">
        <v>4011.71</v>
      </c>
      <c r="AB39" s="4">
        <v>280496.14</v>
      </c>
      <c r="AC39" s="4">
        <v>0</v>
      </c>
      <c r="AD39" s="4">
        <v>0</v>
      </c>
      <c r="AE39" s="4">
        <v>2491.9699999999998</v>
      </c>
      <c r="AF39" s="4">
        <v>8098.49</v>
      </c>
      <c r="AG39" s="4">
        <v>3369.35</v>
      </c>
      <c r="AH39" s="4">
        <v>7938</v>
      </c>
      <c r="AI39" s="4">
        <v>2269.63</v>
      </c>
      <c r="AJ39" s="4">
        <v>16076.35</v>
      </c>
      <c r="AK39" s="4">
        <v>1941.57</v>
      </c>
      <c r="AL39" s="4">
        <v>1983.79</v>
      </c>
      <c r="AM39" s="4">
        <v>1942376.71</v>
      </c>
      <c r="AN39" s="4">
        <v>0</v>
      </c>
      <c r="AO39" s="4">
        <v>0</v>
      </c>
      <c r="AP39" s="4">
        <v>0</v>
      </c>
      <c r="AQ39" s="4">
        <v>40</v>
      </c>
      <c r="AR39" s="4">
        <v>10000</v>
      </c>
      <c r="AS39" s="4">
        <v>8143.9</v>
      </c>
      <c r="AT39" s="4">
        <v>0</v>
      </c>
      <c r="AU39" s="4">
        <v>0</v>
      </c>
      <c r="AV39" s="4">
        <v>830.92</v>
      </c>
      <c r="AW39" s="4">
        <v>28.5</v>
      </c>
      <c r="AX39" s="4">
        <v>10647</v>
      </c>
      <c r="AY39" s="4">
        <v>0</v>
      </c>
      <c r="AZ39" s="4">
        <v>0</v>
      </c>
      <c r="BA39" s="4">
        <v>0</v>
      </c>
      <c r="BB39" s="4">
        <v>0</v>
      </c>
      <c r="BC39" s="4">
        <v>12116.29</v>
      </c>
      <c r="BD39" s="4">
        <v>1495.07</v>
      </c>
      <c r="BE39" s="4">
        <v>0</v>
      </c>
      <c r="BF39" s="4">
        <v>9125</v>
      </c>
      <c r="BG39" s="4">
        <v>0</v>
      </c>
      <c r="BH39" s="4">
        <v>0</v>
      </c>
      <c r="BI39" s="4">
        <v>0</v>
      </c>
      <c r="BJ39" s="4">
        <v>16783.830000000002</v>
      </c>
      <c r="BK39" s="4">
        <v>0</v>
      </c>
      <c r="BL39" s="4">
        <v>1411.63</v>
      </c>
      <c r="BM39" s="4">
        <f t="shared" si="31"/>
        <v>5390474.1100000013</v>
      </c>
      <c r="BN39" s="4">
        <v>5390474.1100000003</v>
      </c>
      <c r="BO39" s="4">
        <f t="shared" si="1"/>
        <v>0</v>
      </c>
      <c r="BP39" s="4">
        <v>1240928.72</v>
      </c>
      <c r="BQ39" s="4">
        <v>41032</v>
      </c>
      <c r="BR39" s="4"/>
      <c r="BS39" s="7"/>
      <c r="BT39" s="4">
        <f t="shared" si="15"/>
        <v>3200850.8600000003</v>
      </c>
      <c r="BU39" s="9">
        <f t="shared" si="16"/>
        <v>23611.360000000001</v>
      </c>
      <c r="BV39" s="9">
        <f t="shared" si="17"/>
        <v>1942416.71</v>
      </c>
      <c r="BW39" s="9">
        <f t="shared" si="2"/>
        <v>206326.28000000003</v>
      </c>
      <c r="BX39" s="9">
        <f t="shared" si="3"/>
        <v>8143.9</v>
      </c>
      <c r="BY39" s="9">
        <f t="shared" si="4"/>
        <v>9125</v>
      </c>
      <c r="BZ39" s="9">
        <f t="shared" si="18"/>
        <v>5390474.1100000003</v>
      </c>
      <c r="CA39" s="9">
        <f t="shared" si="5"/>
        <v>0</v>
      </c>
      <c r="CB39" s="7"/>
      <c r="CC39" s="4">
        <v>1841568.96</v>
      </c>
      <c r="CD39" s="4"/>
      <c r="CE39" s="4"/>
      <c r="CF39" s="4">
        <f t="shared" si="29"/>
        <v>1841568.96</v>
      </c>
      <c r="CG39" s="4">
        <f t="shared" si="26"/>
        <v>0</v>
      </c>
      <c r="CH39" s="4">
        <v>0</v>
      </c>
      <c r="CI39" s="4"/>
      <c r="CJ39" s="4"/>
      <c r="CK39" s="4"/>
      <c r="CL39" s="4"/>
      <c r="CM39" s="4"/>
      <c r="CN39" s="4">
        <v>0</v>
      </c>
      <c r="CO39" s="4">
        <v>0</v>
      </c>
      <c r="CP39" s="4">
        <v>330081.21999999997</v>
      </c>
      <c r="CQ39" s="4">
        <v>1550.55</v>
      </c>
      <c r="CR39" s="4">
        <v>321.5</v>
      </c>
      <c r="CS39" s="4">
        <v>0</v>
      </c>
      <c r="CT39" s="4">
        <v>0</v>
      </c>
      <c r="CU39" s="4">
        <v>13430.41</v>
      </c>
      <c r="CV39" s="4">
        <v>78728.19</v>
      </c>
      <c r="CW39" s="4">
        <v>240574.05</v>
      </c>
      <c r="CX39" s="4">
        <v>1799.86</v>
      </c>
      <c r="CY39" s="4">
        <v>24108</v>
      </c>
      <c r="CZ39" s="4">
        <v>0</v>
      </c>
      <c r="DA39" s="4">
        <v>33000</v>
      </c>
      <c r="DB39" s="4">
        <v>0</v>
      </c>
      <c r="DC39" s="4">
        <v>0</v>
      </c>
      <c r="DD39" s="4">
        <v>0</v>
      </c>
      <c r="DE39" s="4">
        <v>0</v>
      </c>
      <c r="DF39" s="4">
        <v>3913.83</v>
      </c>
      <c r="DG39" s="4">
        <v>3217.5</v>
      </c>
      <c r="DH39" s="4">
        <v>4240</v>
      </c>
      <c r="DI39" s="4">
        <v>160</v>
      </c>
      <c r="DJ39" s="4">
        <v>0</v>
      </c>
      <c r="DK39" s="4">
        <v>13466.77</v>
      </c>
      <c r="DL39" s="4">
        <v>0</v>
      </c>
      <c r="DM39" s="4">
        <v>2509.9299999999998</v>
      </c>
      <c r="DN39" s="4">
        <v>316550.59999999998</v>
      </c>
      <c r="DO39" s="4">
        <v>2077039.94</v>
      </c>
      <c r="DP39" s="4"/>
      <c r="DQ39" s="4"/>
      <c r="DR39" s="4">
        <v>24517.5</v>
      </c>
      <c r="DS39" s="4">
        <v>1629.85</v>
      </c>
      <c r="DT39" s="4">
        <v>260838</v>
      </c>
      <c r="DU39" s="4">
        <v>0</v>
      </c>
      <c r="DV39" s="4">
        <v>0</v>
      </c>
      <c r="DW39" s="4"/>
      <c r="DX39" s="4">
        <v>29819.86</v>
      </c>
      <c r="DY39" s="4">
        <v>236.5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60691.19</v>
      </c>
      <c r="EH39" s="4">
        <v>827.14</v>
      </c>
      <c r="EI39" s="4">
        <v>10734.72</v>
      </c>
      <c r="EJ39" s="8">
        <v>1000</v>
      </c>
      <c r="EK39" s="4">
        <v>0</v>
      </c>
      <c r="EL39" s="4">
        <v>1039.05</v>
      </c>
      <c r="EM39" s="4">
        <v>0</v>
      </c>
      <c r="EN39" s="4">
        <v>8100.4</v>
      </c>
      <c r="EO39" s="4">
        <f t="shared" si="28"/>
        <v>5385695.5199999996</v>
      </c>
      <c r="EP39" s="4">
        <v>5385705.5199999996</v>
      </c>
      <c r="EQ39" s="4">
        <f t="shared" si="32"/>
        <v>-10</v>
      </c>
      <c r="ER39" s="4">
        <v>1245697.31</v>
      </c>
      <c r="ES39" s="4">
        <v>41032</v>
      </c>
      <c r="ET39" s="4"/>
      <c r="EU39" s="7"/>
      <c r="EV39" s="4">
        <f t="shared" si="20"/>
        <v>580018.44999999995</v>
      </c>
      <c r="EW39" s="4">
        <f t="shared" si="21"/>
        <v>0</v>
      </c>
      <c r="EX39" s="4">
        <f t="shared" si="22"/>
        <v>2101557.44</v>
      </c>
      <c r="EY39" s="4">
        <f t="shared" si="23"/>
        <v>1884855.59</v>
      </c>
      <c r="EZ39" s="4">
        <f t="shared" si="24"/>
        <v>819264.04</v>
      </c>
      <c r="FA39" s="13">
        <v>0</v>
      </c>
      <c r="FB39" s="13">
        <f t="shared" si="9"/>
        <v>5385695.5199999996</v>
      </c>
      <c r="FC39" s="13">
        <f t="shared" si="10"/>
        <v>0</v>
      </c>
      <c r="FD39" s="12"/>
      <c r="FE39" s="13">
        <f t="shared" si="11"/>
        <v>5381349.1100000003</v>
      </c>
      <c r="FF39" s="13">
        <f t="shared" si="12"/>
        <v>4805677.07</v>
      </c>
      <c r="FG39" s="13">
        <f t="shared" si="13"/>
        <v>575672.04</v>
      </c>
      <c r="FH39" s="13">
        <f t="shared" si="14"/>
        <v>2677229.48</v>
      </c>
    </row>
    <row r="40" spans="1:164" x14ac:dyDescent="0.35">
      <c r="A40">
        <v>1856</v>
      </c>
      <c r="B40" s="4">
        <v>24293.71</v>
      </c>
      <c r="C40" s="4">
        <v>20772.5</v>
      </c>
      <c r="D40" s="4">
        <v>53430.45</v>
      </c>
      <c r="E40" s="4">
        <v>0</v>
      </c>
      <c r="F40" s="4">
        <v>115.18</v>
      </c>
      <c r="G40" s="4">
        <v>266184.36</v>
      </c>
      <c r="H40" s="4">
        <v>0</v>
      </c>
      <c r="I40" s="4">
        <v>0</v>
      </c>
      <c r="J40" s="4">
        <v>0</v>
      </c>
      <c r="K40" s="4">
        <v>253011.07</v>
      </c>
      <c r="L40" s="4">
        <v>1682035.21</v>
      </c>
      <c r="M40" s="4">
        <v>14455.85</v>
      </c>
      <c r="N40" s="4">
        <v>80038.98</v>
      </c>
      <c r="O40" s="4">
        <v>0</v>
      </c>
      <c r="P40" s="4">
        <v>9265</v>
      </c>
      <c r="Q40" s="4">
        <v>126335.52</v>
      </c>
      <c r="R40" s="4">
        <v>250947.24</v>
      </c>
      <c r="S40" s="4">
        <v>150639.93</v>
      </c>
      <c r="T40" s="4">
        <v>0</v>
      </c>
      <c r="U40" s="4">
        <v>4036.38</v>
      </c>
      <c r="V40" s="4">
        <v>7060.9</v>
      </c>
      <c r="W40" s="4">
        <v>0</v>
      </c>
      <c r="X40" s="4">
        <v>142334.22</v>
      </c>
      <c r="Y40" s="4">
        <v>820.24</v>
      </c>
      <c r="Z40" s="4">
        <v>16901</v>
      </c>
      <c r="AA40" s="4">
        <v>3764.57</v>
      </c>
      <c r="AB40" s="4">
        <v>160535.35999999999</v>
      </c>
      <c r="AC40" s="4">
        <v>1148</v>
      </c>
      <c r="AD40" s="4">
        <v>0</v>
      </c>
      <c r="AE40" s="4">
        <v>2243.91</v>
      </c>
      <c r="AF40" s="4">
        <v>5551.66</v>
      </c>
      <c r="AG40" s="4">
        <v>3436.86</v>
      </c>
      <c r="AH40" s="4">
        <v>3647.82</v>
      </c>
      <c r="AI40" s="4">
        <v>1666.54</v>
      </c>
      <c r="AJ40" s="4">
        <v>12376.22</v>
      </c>
      <c r="AK40" s="4">
        <v>2086.9499999999998</v>
      </c>
      <c r="AL40" s="4">
        <v>389.08</v>
      </c>
      <c r="AM40" s="4">
        <v>2006015.66</v>
      </c>
      <c r="AN40" s="4">
        <v>0</v>
      </c>
      <c r="AO40" s="4">
        <v>0</v>
      </c>
      <c r="AP40" s="4">
        <v>0</v>
      </c>
      <c r="AQ40" s="4">
        <v>25</v>
      </c>
      <c r="AR40" s="4">
        <v>10000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13056.41</v>
      </c>
      <c r="AY40" s="4">
        <v>0</v>
      </c>
      <c r="AZ40" s="4">
        <v>0</v>
      </c>
      <c r="BA40" s="4">
        <v>0</v>
      </c>
      <c r="BB40" s="4">
        <v>0</v>
      </c>
      <c r="BC40" s="4">
        <v>3444.88</v>
      </c>
      <c r="BD40" s="4">
        <v>1173.5899999999999</v>
      </c>
      <c r="BE40" s="4">
        <v>0</v>
      </c>
      <c r="BF40" s="4">
        <v>14941.09</v>
      </c>
      <c r="BG40" s="4">
        <v>387.27</v>
      </c>
      <c r="BH40" s="4">
        <v>0</v>
      </c>
      <c r="BI40" s="4">
        <v>0</v>
      </c>
      <c r="BJ40" s="4">
        <v>26897.57</v>
      </c>
      <c r="BK40" s="4">
        <v>0</v>
      </c>
      <c r="BL40" s="4">
        <v>2774.15</v>
      </c>
      <c r="BM40" s="4">
        <f t="shared" si="31"/>
        <v>5378240.330000001</v>
      </c>
      <c r="BN40" s="4">
        <v>5378240.3300000001</v>
      </c>
      <c r="BO40" s="4">
        <f t="shared" si="1"/>
        <v>0</v>
      </c>
      <c r="BP40" s="4">
        <v>1243697.31</v>
      </c>
      <c r="BQ40" s="4">
        <v>41032</v>
      </c>
      <c r="BR40" s="4"/>
      <c r="BS40" s="7"/>
      <c r="BT40" s="4">
        <f t="shared" si="15"/>
        <v>3094287.86</v>
      </c>
      <c r="BU40" s="9">
        <f t="shared" si="16"/>
        <v>14733.650000000001</v>
      </c>
      <c r="BV40" s="9">
        <f t="shared" si="17"/>
        <v>2006040.66</v>
      </c>
      <c r="BW40" s="9">
        <f t="shared" si="2"/>
        <v>248237.06999999998</v>
      </c>
      <c r="BX40" s="9">
        <f t="shared" si="3"/>
        <v>0</v>
      </c>
      <c r="BY40" s="9">
        <f t="shared" si="4"/>
        <v>14941.09</v>
      </c>
      <c r="BZ40" s="9">
        <f t="shared" si="18"/>
        <v>5378240.3300000001</v>
      </c>
      <c r="CA40" s="9">
        <f t="shared" si="5"/>
        <v>0</v>
      </c>
      <c r="CB40" s="7"/>
      <c r="CC40" s="4">
        <v>1943896.82</v>
      </c>
      <c r="CD40" s="4"/>
      <c r="CE40" s="4"/>
      <c r="CF40" s="4">
        <f t="shared" si="29"/>
        <v>1943896.82</v>
      </c>
      <c r="CG40" s="4">
        <f t="shared" si="26"/>
        <v>0</v>
      </c>
      <c r="CH40" s="4">
        <v>0</v>
      </c>
      <c r="CI40" s="4"/>
      <c r="CJ40" s="4"/>
      <c r="CK40" s="4"/>
      <c r="CL40" s="4"/>
      <c r="CM40" s="4"/>
      <c r="CN40" s="4">
        <v>0</v>
      </c>
      <c r="CO40" s="4">
        <v>0</v>
      </c>
      <c r="CP40" s="4">
        <v>317969.11</v>
      </c>
      <c r="CQ40" s="4">
        <v>3511.54</v>
      </c>
      <c r="CR40" s="4">
        <v>190</v>
      </c>
      <c r="CS40" s="4">
        <v>0</v>
      </c>
      <c r="CT40" s="4">
        <v>0</v>
      </c>
      <c r="CU40" s="4">
        <v>11897.34</v>
      </c>
      <c r="CV40" s="4">
        <v>68268.2</v>
      </c>
      <c r="CW40" s="4">
        <v>199715</v>
      </c>
      <c r="CX40" s="4">
        <v>0</v>
      </c>
      <c r="CY40" s="4">
        <v>18992</v>
      </c>
      <c r="CZ40" s="4">
        <v>0</v>
      </c>
      <c r="DA40" s="4">
        <v>45000</v>
      </c>
      <c r="DB40" s="4">
        <v>0</v>
      </c>
      <c r="DC40" s="4">
        <v>6000</v>
      </c>
      <c r="DD40" s="4">
        <v>0</v>
      </c>
      <c r="DE40" s="4">
        <v>0</v>
      </c>
      <c r="DF40" s="4">
        <v>132.5</v>
      </c>
      <c r="DG40" s="4">
        <v>6777</v>
      </c>
      <c r="DH40" s="4">
        <v>2903.11</v>
      </c>
      <c r="DI40" s="4">
        <v>270</v>
      </c>
      <c r="DJ40" s="4">
        <v>0</v>
      </c>
      <c r="DK40" s="4">
        <v>12014.91</v>
      </c>
      <c r="DL40" s="4">
        <v>0</v>
      </c>
      <c r="DM40" s="4">
        <v>4643</v>
      </c>
      <c r="DN40" s="4">
        <v>327824.46999999997</v>
      </c>
      <c r="DO40" s="4">
        <v>2047955.8</v>
      </c>
      <c r="DP40" s="4"/>
      <c r="DQ40" s="4"/>
      <c r="DR40" s="4">
        <v>23017.17</v>
      </c>
      <c r="DS40" s="4">
        <v>151.63</v>
      </c>
      <c r="DT40" s="4">
        <v>38317</v>
      </c>
      <c r="DU40" s="4">
        <v>0</v>
      </c>
      <c r="DV40" s="4">
        <v>130512.09</v>
      </c>
      <c r="DW40" s="4"/>
      <c r="DX40" s="4">
        <v>52281.21</v>
      </c>
      <c r="DY40" s="4">
        <v>105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62925.599999999999</v>
      </c>
      <c r="EH40" s="4">
        <v>574.89</v>
      </c>
      <c r="EI40" s="4">
        <v>6014.56</v>
      </c>
      <c r="EJ40" s="4">
        <v>0</v>
      </c>
      <c r="EK40" s="4">
        <v>0</v>
      </c>
      <c r="EL40" s="4">
        <v>393.38</v>
      </c>
      <c r="EM40" s="4">
        <v>0</v>
      </c>
      <c r="EN40" s="4">
        <v>44888.89</v>
      </c>
      <c r="EO40" s="4">
        <f t="shared" si="28"/>
        <v>5377142.2199999997</v>
      </c>
      <c r="EP40" s="4">
        <v>5377142.2199999997</v>
      </c>
      <c r="EQ40" s="4">
        <f t="shared" si="32"/>
        <v>0</v>
      </c>
      <c r="ER40" s="4">
        <v>1244795.42</v>
      </c>
      <c r="ES40" s="4">
        <v>41032</v>
      </c>
      <c r="ET40" s="4"/>
      <c r="EU40" s="7"/>
      <c r="EV40" s="4">
        <f t="shared" si="20"/>
        <v>366293.1</v>
      </c>
      <c r="EW40" s="4">
        <f t="shared" si="21"/>
        <v>0</v>
      </c>
      <c r="EX40" s="4">
        <f t="shared" si="22"/>
        <v>2070972.97</v>
      </c>
      <c r="EY40" s="4">
        <f t="shared" si="23"/>
        <v>2144705.0300000003</v>
      </c>
      <c r="EZ40" s="4">
        <f t="shared" si="24"/>
        <v>795171.12</v>
      </c>
      <c r="FA40" s="13">
        <v>0</v>
      </c>
      <c r="FB40" s="13">
        <f t="shared" si="9"/>
        <v>5377142.2199999997</v>
      </c>
      <c r="FC40" s="13">
        <f t="shared" si="10"/>
        <v>0</v>
      </c>
      <c r="FD40" s="12"/>
      <c r="FE40" s="13">
        <f t="shared" si="11"/>
        <v>5363299.24</v>
      </c>
      <c r="FF40" s="13">
        <f t="shared" si="12"/>
        <v>5010849.12</v>
      </c>
      <c r="FG40" s="13">
        <f t="shared" si="13"/>
        <v>352450.12000000011</v>
      </c>
      <c r="FH40" s="13">
        <f t="shared" si="14"/>
        <v>2423423.09</v>
      </c>
    </row>
    <row r="41" spans="1:164" x14ac:dyDescent="0.35">
      <c r="A41">
        <v>1857</v>
      </c>
      <c r="B41" s="4">
        <v>21553.59</v>
      </c>
      <c r="C41" s="4">
        <v>20275</v>
      </c>
      <c r="D41" s="4">
        <v>46626.67</v>
      </c>
      <c r="E41" s="4">
        <v>0</v>
      </c>
      <c r="F41" s="4">
        <v>300</v>
      </c>
      <c r="G41" s="4">
        <v>245242.03</v>
      </c>
      <c r="H41" s="4">
        <v>0</v>
      </c>
      <c r="I41" s="4">
        <v>0</v>
      </c>
      <c r="J41" s="4">
        <v>0</v>
      </c>
      <c r="K41" s="4">
        <v>310240.93</v>
      </c>
      <c r="L41" s="4">
        <v>1554667.34</v>
      </c>
      <c r="M41" s="4">
        <v>18918.490000000002</v>
      </c>
      <c r="N41" s="4">
        <v>96948.22</v>
      </c>
      <c r="O41" s="4">
        <v>0</v>
      </c>
      <c r="P41" s="4">
        <v>16400</v>
      </c>
      <c r="Q41" s="4">
        <v>204756.05</v>
      </c>
      <c r="R41" s="4">
        <v>204564.11</v>
      </c>
      <c r="S41" s="4">
        <v>180809.87</v>
      </c>
      <c r="T41" s="4">
        <v>0</v>
      </c>
      <c r="U41" s="4">
        <v>4771.37</v>
      </c>
      <c r="V41" s="4">
        <v>7488.11</v>
      </c>
      <c r="W41" s="4">
        <v>0</v>
      </c>
      <c r="X41" s="4">
        <v>139606.19</v>
      </c>
      <c r="Y41" s="4">
        <v>309.82</v>
      </c>
      <c r="Z41" s="4">
        <v>10364.94</v>
      </c>
      <c r="AA41" s="4">
        <v>4421.8999999999996</v>
      </c>
      <c r="AB41" s="4">
        <v>169061.29</v>
      </c>
      <c r="AC41" s="4">
        <v>0</v>
      </c>
      <c r="AD41" s="4">
        <v>0</v>
      </c>
      <c r="AE41" s="4">
        <v>2724.18</v>
      </c>
      <c r="AF41" s="4">
        <v>7708.83</v>
      </c>
      <c r="AG41" s="4">
        <v>11065.34</v>
      </c>
      <c r="AH41" s="4">
        <v>2806.5</v>
      </c>
      <c r="AI41" s="4">
        <v>1550.86</v>
      </c>
      <c r="AJ41" s="4">
        <v>11696.26</v>
      </c>
      <c r="AK41" s="4">
        <v>1296.97</v>
      </c>
      <c r="AL41" s="4">
        <v>206.35</v>
      </c>
      <c r="AM41" s="4">
        <v>1308598.6200000001</v>
      </c>
      <c r="AN41" s="4">
        <v>0</v>
      </c>
      <c r="AO41" s="4">
        <v>0</v>
      </c>
      <c r="AP41" s="4">
        <v>0</v>
      </c>
      <c r="AQ41" s="4">
        <v>0</v>
      </c>
      <c r="AR41" s="4">
        <v>10000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35352.86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3828.31</v>
      </c>
      <c r="BE41" s="4">
        <v>0</v>
      </c>
      <c r="BF41" s="4">
        <v>8647.49</v>
      </c>
      <c r="BG41" s="4">
        <v>0</v>
      </c>
      <c r="BH41" s="4">
        <v>0</v>
      </c>
      <c r="BI41" s="4">
        <v>0</v>
      </c>
      <c r="BJ41" s="4">
        <v>20154.73</v>
      </c>
      <c r="BK41" s="4">
        <v>0</v>
      </c>
      <c r="BL41" s="4">
        <v>7624.62</v>
      </c>
      <c r="BM41" s="4">
        <f t="shared" si="31"/>
        <v>4690587.8400000008</v>
      </c>
      <c r="BN41" s="4">
        <v>4690587.84</v>
      </c>
      <c r="BO41" s="4">
        <f t="shared" si="1"/>
        <v>0</v>
      </c>
      <c r="BP41" s="4">
        <v>1244795.42</v>
      </c>
      <c r="BQ41" s="4">
        <v>41032</v>
      </c>
      <c r="BR41" s="4"/>
      <c r="BS41" s="7"/>
      <c r="BT41" s="4">
        <f t="shared" si="15"/>
        <v>3103971.6700000004</v>
      </c>
      <c r="BU41" s="9">
        <f t="shared" si="16"/>
        <v>14128.31</v>
      </c>
      <c r="BV41" s="9">
        <f t="shared" si="17"/>
        <v>1308598.6200000001</v>
      </c>
      <c r="BW41" s="9">
        <f t="shared" si="2"/>
        <v>255241.75000000003</v>
      </c>
      <c r="BX41" s="9">
        <f t="shared" si="3"/>
        <v>0</v>
      </c>
      <c r="BY41" s="9">
        <f t="shared" si="4"/>
        <v>8647.49</v>
      </c>
      <c r="BZ41" s="9">
        <f t="shared" si="18"/>
        <v>4690587.8400000008</v>
      </c>
      <c r="CA41" s="9">
        <f t="shared" si="5"/>
        <v>0</v>
      </c>
      <c r="CB41" s="7"/>
      <c r="CC41" s="4">
        <v>1312705.67</v>
      </c>
      <c r="CD41" s="4"/>
      <c r="CE41" s="4"/>
      <c r="CF41" s="4">
        <f t="shared" si="29"/>
        <v>1312705.67</v>
      </c>
      <c r="CG41" s="4">
        <f t="shared" si="26"/>
        <v>0</v>
      </c>
      <c r="CH41" s="4">
        <v>0</v>
      </c>
      <c r="CI41" s="4"/>
      <c r="CJ41" s="4"/>
      <c r="CK41" s="4"/>
      <c r="CL41" s="4"/>
      <c r="CM41" s="4"/>
      <c r="CN41" s="4">
        <v>0</v>
      </c>
      <c r="CO41" s="4">
        <v>0</v>
      </c>
      <c r="CP41" s="4">
        <v>423448.89</v>
      </c>
      <c r="CQ41" s="4">
        <v>2832.83</v>
      </c>
      <c r="CR41" s="4">
        <v>36.25</v>
      </c>
      <c r="CS41" s="4">
        <v>0</v>
      </c>
      <c r="CT41" s="4">
        <v>20000</v>
      </c>
      <c r="CU41" s="4">
        <v>9926.99</v>
      </c>
      <c r="CV41" s="4">
        <v>68183.75</v>
      </c>
      <c r="CW41" s="4">
        <f>322608.24+25000</f>
        <v>347608.24</v>
      </c>
      <c r="CX41" s="4">
        <v>0</v>
      </c>
      <c r="CY41" s="4">
        <v>25925</v>
      </c>
      <c r="CZ41" s="4">
        <v>0</v>
      </c>
      <c r="DA41" s="4">
        <v>55000</v>
      </c>
      <c r="DB41" s="4">
        <v>162.49</v>
      </c>
      <c r="DC41" s="4">
        <v>7000</v>
      </c>
      <c r="DD41" s="4">
        <v>0</v>
      </c>
      <c r="DE41" s="4">
        <v>0</v>
      </c>
      <c r="DF41" s="4">
        <v>33137.85</v>
      </c>
      <c r="DG41" s="4">
        <v>6823</v>
      </c>
      <c r="DH41" s="4">
        <v>3672.07</v>
      </c>
      <c r="DI41" s="4">
        <v>180</v>
      </c>
      <c r="DJ41" s="4">
        <v>0</v>
      </c>
      <c r="DK41" s="4">
        <v>15013.61</v>
      </c>
      <c r="DL41" s="4">
        <v>0</v>
      </c>
      <c r="DM41" s="4">
        <v>3996.6</v>
      </c>
      <c r="DN41" s="4">
        <v>104565.34</v>
      </c>
      <c r="DO41" s="4">
        <v>2035809.94</v>
      </c>
      <c r="DP41" s="4"/>
      <c r="DQ41" s="4"/>
      <c r="DR41" s="4">
        <v>21017.5</v>
      </c>
      <c r="DS41" s="4">
        <v>560.79999999999995</v>
      </c>
      <c r="DT41" s="4">
        <v>713952.64</v>
      </c>
      <c r="DU41" s="4">
        <v>2428.5</v>
      </c>
      <c r="DV41" s="4">
        <v>46548.57</v>
      </c>
      <c r="DW41" s="4"/>
      <c r="DX41" s="4">
        <v>46552.65</v>
      </c>
      <c r="DY41" s="4">
        <v>1765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50538.99</v>
      </c>
      <c r="EH41" s="4">
        <v>686.13</v>
      </c>
      <c r="EI41" s="4">
        <f>6962.22+8924.59</f>
        <v>15886.810000000001</v>
      </c>
      <c r="EJ41" s="4">
        <v>0</v>
      </c>
      <c r="EK41" s="4">
        <v>0</v>
      </c>
      <c r="EL41" s="4">
        <v>0</v>
      </c>
      <c r="EM41" s="4">
        <v>0</v>
      </c>
      <c r="EN41" s="4">
        <v>31310.68</v>
      </c>
      <c r="EO41" s="4">
        <f t="shared" si="28"/>
        <v>5407276.7899999991</v>
      </c>
      <c r="EP41" s="4">
        <v>5407276.79</v>
      </c>
      <c r="EQ41" s="4">
        <f t="shared" si="32"/>
        <v>0</v>
      </c>
      <c r="ER41" s="4">
        <v>528106.47</v>
      </c>
      <c r="ES41" s="4">
        <v>41032</v>
      </c>
      <c r="EU41" s="12"/>
      <c r="EV41" s="4">
        <f t="shared" si="20"/>
        <v>819078.78</v>
      </c>
      <c r="EW41" s="4">
        <f t="shared" si="21"/>
        <v>0</v>
      </c>
      <c r="EX41" s="4">
        <f t="shared" si="22"/>
        <v>2056827.44</v>
      </c>
      <c r="EY41" s="4">
        <f t="shared" si="23"/>
        <v>1430249</v>
      </c>
      <c r="EZ41" s="4">
        <f t="shared" si="24"/>
        <v>1101121.5699999998</v>
      </c>
      <c r="FA41" s="13">
        <v>0</v>
      </c>
      <c r="FB41" s="13">
        <f t="shared" si="9"/>
        <v>5407276.7899999991</v>
      </c>
      <c r="FC41" s="13">
        <f t="shared" si="10"/>
        <v>0</v>
      </c>
      <c r="FD41" s="12"/>
      <c r="FE41" s="13">
        <f t="shared" si="11"/>
        <v>4681940.3500000006</v>
      </c>
      <c r="FF41" s="13">
        <f t="shared" si="12"/>
        <v>4588198.01</v>
      </c>
      <c r="FG41" s="13">
        <f t="shared" si="13"/>
        <v>93742.340000000782</v>
      </c>
      <c r="FH41" s="13">
        <f t="shared" si="14"/>
        <v>2150569.7800000007</v>
      </c>
    </row>
    <row r="42" spans="1:164" x14ac:dyDescent="0.35">
      <c r="A42">
        <v>1858</v>
      </c>
      <c r="B42" s="4">
        <v>12948.51</v>
      </c>
      <c r="C42" s="4">
        <v>28350</v>
      </c>
      <c r="D42" s="4">
        <v>42283.1</v>
      </c>
      <c r="E42" s="4">
        <v>0</v>
      </c>
      <c r="F42" s="4">
        <v>100</v>
      </c>
      <c r="G42" s="4">
        <v>260740.31</v>
      </c>
      <c r="H42" s="4">
        <v>0</v>
      </c>
      <c r="I42" s="4">
        <v>0</v>
      </c>
      <c r="J42" s="4">
        <v>0</v>
      </c>
      <c r="K42" s="4">
        <v>408406.87</v>
      </c>
      <c r="L42" s="4">
        <v>1610229.19</v>
      </c>
      <c r="M42" s="4">
        <v>12018.33</v>
      </c>
      <c r="N42" s="4">
        <v>78586.97</v>
      </c>
      <c r="O42" s="4">
        <v>0</v>
      </c>
      <c r="P42" s="4">
        <v>8840</v>
      </c>
      <c r="Q42" s="4">
        <v>148363.10999999999</v>
      </c>
      <c r="R42" s="4">
        <v>224535.62</v>
      </c>
      <c r="S42" s="4">
        <v>190440.67</v>
      </c>
      <c r="T42" s="4">
        <v>0</v>
      </c>
      <c r="U42" s="4">
        <v>2773.63</v>
      </c>
      <c r="V42" s="4">
        <v>9189.85</v>
      </c>
      <c r="W42" s="4">
        <v>0</v>
      </c>
      <c r="X42" s="4">
        <v>92318.89</v>
      </c>
      <c r="Y42" s="4">
        <v>259.73</v>
      </c>
      <c r="Z42" s="4">
        <v>12329.05</v>
      </c>
      <c r="AA42" s="4">
        <v>3324.41</v>
      </c>
      <c r="AB42" s="4">
        <v>190664.24</v>
      </c>
      <c r="AC42" s="4">
        <v>570</v>
      </c>
      <c r="AD42" s="4">
        <v>0</v>
      </c>
      <c r="AE42" s="4">
        <v>2162.17</v>
      </c>
      <c r="AF42" s="4">
        <v>7542.46</v>
      </c>
      <c r="AG42" s="4">
        <v>10717.87</v>
      </c>
      <c r="AH42" s="4">
        <v>2973.56</v>
      </c>
      <c r="AI42" s="4">
        <v>1502.48</v>
      </c>
      <c r="AJ42" s="4">
        <v>11836.02</v>
      </c>
      <c r="AK42" s="4">
        <v>849.39</v>
      </c>
      <c r="AL42" s="4">
        <v>3666.17</v>
      </c>
      <c r="AM42" s="4">
        <v>95070.06</v>
      </c>
      <c r="AN42" s="4">
        <v>0</v>
      </c>
      <c r="AO42" s="4">
        <v>100000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97086.2</v>
      </c>
      <c r="AY42" s="4">
        <v>0</v>
      </c>
      <c r="AZ42" s="4">
        <v>28000</v>
      </c>
      <c r="BA42" s="4">
        <v>12201.18</v>
      </c>
      <c r="BB42" s="4">
        <v>0</v>
      </c>
      <c r="BC42" s="4">
        <v>411043.24</v>
      </c>
      <c r="BD42" s="4">
        <v>5158.63</v>
      </c>
      <c r="BE42" s="4">
        <v>0</v>
      </c>
      <c r="BF42" s="4">
        <v>1994.27</v>
      </c>
      <c r="BG42" s="4">
        <v>0</v>
      </c>
      <c r="BH42" s="4">
        <v>0</v>
      </c>
      <c r="BI42" s="4">
        <v>3524.2</v>
      </c>
      <c r="BJ42" s="4">
        <v>6500.49</v>
      </c>
      <c r="BK42" s="4">
        <v>0</v>
      </c>
      <c r="BL42" s="4">
        <v>677.48</v>
      </c>
      <c r="BM42" s="4">
        <f t="shared" si="31"/>
        <v>4139778.3500000015</v>
      </c>
      <c r="BN42" s="4">
        <v>4139778.35</v>
      </c>
      <c r="BO42" s="4">
        <f t="shared" si="1"/>
        <v>0</v>
      </c>
      <c r="BP42" s="4">
        <v>528106.47</v>
      </c>
      <c r="BQ42" s="4">
        <v>41032</v>
      </c>
      <c r="BR42" s="4"/>
      <c r="BS42" s="7"/>
      <c r="BT42" s="4">
        <f t="shared" si="15"/>
        <v>3232216.42</v>
      </c>
      <c r="BU42" s="9">
        <f t="shared" si="16"/>
        <v>416301.87</v>
      </c>
      <c r="BV42" s="9">
        <f t="shared" si="17"/>
        <v>95070.06</v>
      </c>
      <c r="BW42" s="9">
        <f t="shared" si="2"/>
        <v>253994.55000000002</v>
      </c>
      <c r="BX42" s="9">
        <f t="shared" si="3"/>
        <v>0</v>
      </c>
      <c r="BY42" s="9">
        <f t="shared" si="4"/>
        <v>142195.44999999998</v>
      </c>
      <c r="BZ42" s="9">
        <f t="shared" si="18"/>
        <v>4139778.35</v>
      </c>
      <c r="CA42" s="9">
        <f t="shared" si="5"/>
        <v>0</v>
      </c>
      <c r="CB42" s="7"/>
      <c r="CC42" s="4">
        <v>202665.62</v>
      </c>
      <c r="CD42" s="4"/>
      <c r="CE42" s="4"/>
      <c r="CF42" s="4">
        <f t="shared" si="29"/>
        <v>202665.62</v>
      </c>
      <c r="CG42" s="4">
        <f t="shared" si="26"/>
        <v>0</v>
      </c>
      <c r="CH42" s="4">
        <v>0</v>
      </c>
      <c r="CI42" s="4"/>
      <c r="CJ42" s="4"/>
      <c r="CK42" s="4"/>
      <c r="CL42" s="4"/>
      <c r="CM42" s="4"/>
      <c r="CN42" s="4">
        <v>0</v>
      </c>
      <c r="CO42" s="4">
        <f>5000+2000</f>
        <v>7000</v>
      </c>
      <c r="CP42" s="4">
        <v>399888.36</v>
      </c>
      <c r="CQ42" s="4">
        <v>2854.96</v>
      </c>
      <c r="CR42" s="4">
        <v>108</v>
      </c>
      <c r="CS42" s="4">
        <v>0</v>
      </c>
      <c r="CT42" s="4">
        <v>10000</v>
      </c>
      <c r="CU42" s="4">
        <v>9482.7000000000007</v>
      </c>
      <c r="CV42" s="4">
        <v>111908.49</v>
      </c>
      <c r="CW42" s="4">
        <f>6000+277590.18</f>
        <v>283590.18</v>
      </c>
      <c r="CX42" s="4">
        <v>0</v>
      </c>
      <c r="CY42" s="4">
        <v>27950.2</v>
      </c>
      <c r="CZ42" s="4">
        <v>0</v>
      </c>
      <c r="DA42" s="4">
        <v>57500</v>
      </c>
      <c r="DB42" s="4">
        <v>117</v>
      </c>
      <c r="DC42" s="4">
        <v>183.45</v>
      </c>
      <c r="DD42" s="4">
        <v>0</v>
      </c>
      <c r="DE42" s="4">
        <v>0</v>
      </c>
      <c r="DF42" s="4">
        <v>7345.17</v>
      </c>
      <c r="DG42" s="4">
        <v>1266.5</v>
      </c>
      <c r="DH42" s="4">
        <v>2000</v>
      </c>
      <c r="DI42" s="4">
        <v>240</v>
      </c>
      <c r="DJ42" s="4">
        <v>0</v>
      </c>
      <c r="DK42" s="4">
        <v>15352.6</v>
      </c>
      <c r="DL42" s="4">
        <v>0</v>
      </c>
      <c r="DM42" s="4">
        <v>3593.5</v>
      </c>
      <c r="DN42" s="4">
        <v>0</v>
      </c>
      <c r="DO42" s="4">
        <v>1989243.82</v>
      </c>
      <c r="DP42" s="4"/>
      <c r="DQ42" s="4"/>
      <c r="DR42" s="4">
        <v>18517.5</v>
      </c>
      <c r="DS42" s="4">
        <v>153.5</v>
      </c>
      <c r="DT42" s="4">
        <v>421377.85</v>
      </c>
      <c r="DU42" s="4">
        <v>1135.3699999999999</v>
      </c>
      <c r="DV42" s="4">
        <v>0</v>
      </c>
      <c r="DW42" s="4"/>
      <c r="DX42" s="4">
        <v>138370.96</v>
      </c>
      <c r="DY42" s="4">
        <v>377.43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51093.78</v>
      </c>
      <c r="EH42" s="4">
        <v>945.03</v>
      </c>
      <c r="EI42" s="4">
        <f>1312.71+900</f>
        <v>2212.71</v>
      </c>
      <c r="EJ42" s="4">
        <v>0</v>
      </c>
      <c r="EK42" s="4">
        <v>0</v>
      </c>
      <c r="EL42" s="4">
        <v>1587.6</v>
      </c>
      <c r="EM42" s="4">
        <v>0</v>
      </c>
      <c r="EN42" s="4">
        <v>7794.78</v>
      </c>
      <c r="EO42" s="4">
        <f t="shared" si="28"/>
        <v>3775857.0599999996</v>
      </c>
      <c r="EP42" s="4">
        <v>3775857.06</v>
      </c>
      <c r="EQ42" s="4">
        <f t="shared" si="32"/>
        <v>0</v>
      </c>
      <c r="ER42" s="4">
        <v>892027.76</v>
      </c>
      <c r="ES42" s="4">
        <v>41032</v>
      </c>
      <c r="EU42" s="12"/>
      <c r="EV42" s="4">
        <f t="shared" si="20"/>
        <v>421531.35</v>
      </c>
      <c r="EW42" s="4">
        <f t="shared" si="21"/>
        <v>0</v>
      </c>
      <c r="EX42" s="4">
        <f t="shared" si="22"/>
        <v>2007761.32</v>
      </c>
      <c r="EY42" s="4">
        <f t="shared" si="23"/>
        <v>364708</v>
      </c>
      <c r="EZ42" s="4">
        <f t="shared" si="24"/>
        <v>981856.39</v>
      </c>
      <c r="FA42" s="13">
        <v>0</v>
      </c>
      <c r="FB42" s="13">
        <f t="shared" si="9"/>
        <v>3775857.06</v>
      </c>
      <c r="FC42" s="13">
        <f t="shared" si="10"/>
        <v>0</v>
      </c>
      <c r="FD42" s="12"/>
      <c r="FE42" s="13">
        <f t="shared" si="11"/>
        <v>3997582.9</v>
      </c>
      <c r="FF42" s="13">
        <f t="shared" si="12"/>
        <v>3354325.7100000004</v>
      </c>
      <c r="FG42" s="13">
        <f t="shared" si="13"/>
        <v>643257.18999999948</v>
      </c>
      <c r="FH42" s="13">
        <f t="shared" si="14"/>
        <v>2651018.5099999998</v>
      </c>
    </row>
    <row r="43" spans="1:164" x14ac:dyDescent="0.35">
      <c r="A43">
        <v>1859</v>
      </c>
      <c r="B43" s="4">
        <v>13559.22</v>
      </c>
      <c r="C43" s="4">
        <v>18075</v>
      </c>
      <c r="D43" s="4">
        <v>41981.279999999999</v>
      </c>
      <c r="E43" s="4">
        <v>0</v>
      </c>
      <c r="F43" s="4">
        <v>80</v>
      </c>
      <c r="G43" s="4">
        <v>202017.34</v>
      </c>
      <c r="H43" s="4">
        <v>0</v>
      </c>
      <c r="I43" s="4">
        <v>0</v>
      </c>
      <c r="J43" s="4">
        <v>0</v>
      </c>
      <c r="K43" s="4">
        <v>464784.59</v>
      </c>
      <c r="L43" s="4">
        <v>1388502.18</v>
      </c>
      <c r="M43" s="4">
        <v>14036.58</v>
      </c>
      <c r="N43" s="4">
        <v>63514.12</v>
      </c>
      <c r="O43" s="4">
        <v>0</v>
      </c>
      <c r="P43" s="4">
        <v>7090</v>
      </c>
      <c r="Q43" s="4">
        <v>175784.46</v>
      </c>
      <c r="R43" s="4">
        <v>47582.68</v>
      </c>
      <c r="S43" s="4">
        <v>185304.82</v>
      </c>
      <c r="T43" s="4">
        <v>0</v>
      </c>
      <c r="U43" s="4">
        <v>4689.0200000000004</v>
      </c>
      <c r="V43" s="4">
        <v>15136.23</v>
      </c>
      <c r="W43" s="4">
        <v>0</v>
      </c>
      <c r="X43" s="4">
        <v>124946.32</v>
      </c>
      <c r="Y43" s="4">
        <v>377.95</v>
      </c>
      <c r="Z43" s="4">
        <v>9593.31</v>
      </c>
      <c r="AA43" s="4">
        <v>3938.37</v>
      </c>
      <c r="AB43" s="4">
        <v>213187.69</v>
      </c>
      <c r="AC43" s="4">
        <v>0</v>
      </c>
      <c r="AD43" s="4">
        <v>285</v>
      </c>
      <c r="AE43" s="4">
        <v>1815.87</v>
      </c>
      <c r="AF43" s="4">
        <v>7648.98</v>
      </c>
      <c r="AG43" s="4">
        <v>7587.55</v>
      </c>
      <c r="AH43" s="4">
        <v>5362.5</v>
      </c>
      <c r="AI43" s="4">
        <v>1526.63</v>
      </c>
      <c r="AJ43" s="4">
        <v>13750.13</v>
      </c>
      <c r="AK43" s="4">
        <v>1412.95</v>
      </c>
      <c r="AL43" s="4">
        <v>3375.32</v>
      </c>
      <c r="AM43" s="4">
        <v>4411.78</v>
      </c>
      <c r="AN43" s="4">
        <v>2286.12</v>
      </c>
      <c r="AO43" s="4">
        <v>100000</v>
      </c>
      <c r="AP43" s="4">
        <v>250</v>
      </c>
      <c r="AQ43" s="4">
        <v>0</v>
      </c>
      <c r="AR43" s="4">
        <v>20000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42647.69</v>
      </c>
      <c r="AY43" s="4">
        <v>0</v>
      </c>
      <c r="AZ43" s="4">
        <v>0</v>
      </c>
      <c r="BA43" s="4">
        <v>41573.870000000003</v>
      </c>
      <c r="BB43" s="4">
        <v>0</v>
      </c>
      <c r="BC43" s="4">
        <v>567799.46</v>
      </c>
      <c r="BD43" s="4">
        <v>1870.01</v>
      </c>
      <c r="BE43" s="4">
        <v>0</v>
      </c>
      <c r="BF43" s="4">
        <v>0</v>
      </c>
      <c r="BG43" s="4">
        <v>0</v>
      </c>
      <c r="BH43" s="4">
        <v>0</v>
      </c>
      <c r="BI43" s="4">
        <v>4027.21</v>
      </c>
      <c r="BJ43" s="4">
        <v>4208.62</v>
      </c>
      <c r="BK43" s="4">
        <v>0</v>
      </c>
      <c r="BL43" s="4">
        <v>329.29</v>
      </c>
      <c r="BM43" s="4">
        <f t="shared" si="31"/>
        <v>3826350.1399999997</v>
      </c>
      <c r="BN43" s="4">
        <v>3826350.14</v>
      </c>
      <c r="BO43" s="4">
        <f t="shared" si="1"/>
        <v>0</v>
      </c>
      <c r="BP43" s="4">
        <v>892027.76</v>
      </c>
      <c r="BQ43" s="4">
        <v>41032</v>
      </c>
      <c r="BR43" s="4"/>
      <c r="BS43" s="7"/>
      <c r="BT43" s="4">
        <f t="shared" si="15"/>
        <v>2870314.2899999996</v>
      </c>
      <c r="BU43" s="9">
        <f t="shared" si="16"/>
        <v>589999.47</v>
      </c>
      <c r="BV43" s="9">
        <f t="shared" si="17"/>
        <v>4411.78</v>
      </c>
      <c r="BW43" s="9">
        <f t="shared" si="2"/>
        <v>217764.61000000002</v>
      </c>
      <c r="BX43" s="9">
        <f t="shared" si="3"/>
        <v>0</v>
      </c>
      <c r="BY43" s="9">
        <f t="shared" si="4"/>
        <v>143859.99</v>
      </c>
      <c r="BZ43" s="9">
        <f t="shared" si="18"/>
        <v>3826350.1399999997</v>
      </c>
      <c r="CA43" s="9">
        <f t="shared" si="5"/>
        <v>0</v>
      </c>
      <c r="CB43" s="7"/>
      <c r="CC43" s="4">
        <v>0</v>
      </c>
      <c r="CD43" s="4"/>
      <c r="CE43" s="4"/>
      <c r="CF43" s="4">
        <f t="shared" si="29"/>
        <v>0</v>
      </c>
      <c r="CG43" s="4">
        <f t="shared" si="26"/>
        <v>0</v>
      </c>
      <c r="CH43" s="4">
        <v>0</v>
      </c>
      <c r="CI43" s="4"/>
      <c r="CJ43" s="4"/>
      <c r="CK43" s="4"/>
      <c r="CL43" s="4"/>
      <c r="CM43" s="4"/>
      <c r="CN43" s="4">
        <v>0</v>
      </c>
      <c r="CO43" s="4">
        <v>0</v>
      </c>
      <c r="CP43" s="4">
        <v>408097.4</v>
      </c>
      <c r="CQ43" s="4">
        <v>3000.99</v>
      </c>
      <c r="CR43" s="4">
        <v>72</v>
      </c>
      <c r="CS43" s="4">
        <v>0</v>
      </c>
      <c r="CT43" s="4">
        <v>0</v>
      </c>
      <c r="CU43" s="4">
        <v>7755.62</v>
      </c>
      <c r="CV43" s="4">
        <v>126201.68</v>
      </c>
      <c r="CW43" s="4">
        <f>287790.37+9300</f>
        <v>297090.37</v>
      </c>
      <c r="CX43" s="4">
        <v>0</v>
      </c>
      <c r="CY43" s="4">
        <v>38194.699999999997</v>
      </c>
      <c r="CZ43" s="4">
        <v>0</v>
      </c>
      <c r="DA43" s="4">
        <v>38500</v>
      </c>
      <c r="DB43" s="4">
        <v>120.78</v>
      </c>
      <c r="DC43" s="4">
        <v>5880</v>
      </c>
      <c r="DD43" s="4">
        <v>0</v>
      </c>
      <c r="DE43" s="4">
        <v>0</v>
      </c>
      <c r="DF43" s="4">
        <v>212</v>
      </c>
      <c r="DG43" s="4">
        <v>0</v>
      </c>
      <c r="DH43" s="4">
        <v>2000</v>
      </c>
      <c r="DI43" s="4">
        <v>1075</v>
      </c>
      <c r="DJ43" s="4">
        <v>0</v>
      </c>
      <c r="DK43" s="4">
        <v>7734.9</v>
      </c>
      <c r="DL43" s="4">
        <v>0</v>
      </c>
      <c r="DM43" s="4">
        <v>4511.8</v>
      </c>
      <c r="DN43" s="4">
        <v>0</v>
      </c>
      <c r="DO43" s="4">
        <v>1986147.35</v>
      </c>
      <c r="DP43" s="4"/>
      <c r="DQ43" s="4"/>
      <c r="DR43" s="4">
        <v>18517.5</v>
      </c>
      <c r="DS43" s="4">
        <v>0</v>
      </c>
      <c r="DT43" s="4">
        <v>853654.62</v>
      </c>
      <c r="DU43" s="4">
        <v>622.52</v>
      </c>
      <c r="DV43" s="4">
        <v>0</v>
      </c>
      <c r="DW43" s="4"/>
      <c r="DX43" s="4">
        <v>10649.54</v>
      </c>
      <c r="DY43" s="4">
        <v>119</v>
      </c>
      <c r="DZ43" s="4">
        <v>0</v>
      </c>
      <c r="EA43" s="4">
        <v>0</v>
      </c>
      <c r="EB43" s="4">
        <v>0</v>
      </c>
      <c r="EC43" s="4">
        <v>19</v>
      </c>
      <c r="ED43" s="4">
        <v>0</v>
      </c>
      <c r="EE43" s="4">
        <v>0</v>
      </c>
      <c r="EF43" s="4">
        <v>0</v>
      </c>
      <c r="EG43" s="4">
        <v>52006.55</v>
      </c>
      <c r="EH43" s="4">
        <v>699.34</v>
      </c>
      <c r="EI43" s="4">
        <f>2659.77+120+4988.8</f>
        <v>7768.57</v>
      </c>
      <c r="EJ43" s="4">
        <v>0</v>
      </c>
      <c r="EK43" s="4">
        <v>0</v>
      </c>
      <c r="EL43" s="4">
        <v>723.7</v>
      </c>
      <c r="EM43" s="4">
        <v>0</v>
      </c>
      <c r="EN43" s="4">
        <v>7679.88</v>
      </c>
      <c r="EO43" s="4">
        <f t="shared" si="28"/>
        <v>3879054.8099999996</v>
      </c>
      <c r="EP43" s="4">
        <v>3879054.81</v>
      </c>
      <c r="EQ43" s="4">
        <f t="shared" si="32"/>
        <v>0</v>
      </c>
      <c r="ER43" s="4">
        <v>839323.09</v>
      </c>
      <c r="ES43" s="4">
        <v>41032</v>
      </c>
      <c r="EU43" s="12"/>
      <c r="EV43" s="4">
        <f t="shared" si="20"/>
        <v>853654.62</v>
      </c>
      <c r="EW43" s="4">
        <f t="shared" si="21"/>
        <v>0</v>
      </c>
      <c r="EX43" s="4">
        <f t="shared" si="22"/>
        <v>2004664.85</v>
      </c>
      <c r="EY43" s="4">
        <f t="shared" si="23"/>
        <v>24886.959999999999</v>
      </c>
      <c r="EZ43" s="4">
        <f t="shared" si="24"/>
        <v>995848.37999999989</v>
      </c>
      <c r="FA43" s="13">
        <v>0</v>
      </c>
      <c r="FB43" s="13">
        <f t="shared" si="9"/>
        <v>3879054.81</v>
      </c>
      <c r="FC43" s="13">
        <f t="shared" si="10"/>
        <v>0</v>
      </c>
      <c r="FD43" s="12"/>
      <c r="FE43" s="13">
        <f t="shared" si="11"/>
        <v>3682490.1499999994</v>
      </c>
      <c r="FF43" s="13">
        <f t="shared" si="12"/>
        <v>3025400.19</v>
      </c>
      <c r="FG43" s="13">
        <f t="shared" si="13"/>
        <v>657089.9599999995</v>
      </c>
      <c r="FH43" s="13">
        <f t="shared" si="14"/>
        <v>2661754.8099999996</v>
      </c>
    </row>
    <row r="44" spans="1:164" x14ac:dyDescent="0.35">
      <c r="A44">
        <v>1860</v>
      </c>
      <c r="B44" s="4">
        <v>11325.42</v>
      </c>
      <c r="C44" s="4">
        <v>20826.13</v>
      </c>
      <c r="D44" s="4">
        <v>32526</v>
      </c>
      <c r="E44" s="4">
        <v>0</v>
      </c>
      <c r="F44" s="4">
        <v>0</v>
      </c>
      <c r="G44" s="4">
        <v>227114.06</v>
      </c>
      <c r="H44" s="4">
        <v>0</v>
      </c>
      <c r="I44" s="4">
        <v>0</v>
      </c>
      <c r="J44" s="4">
        <v>0</v>
      </c>
      <c r="K44" s="4">
        <v>275525.18</v>
      </c>
      <c r="L44" s="4">
        <v>1444674.93</v>
      </c>
      <c r="M44" s="4">
        <v>14205.94</v>
      </c>
      <c r="N44" s="4">
        <v>59746.82</v>
      </c>
      <c r="O44" s="4">
        <v>0</v>
      </c>
      <c r="P44" s="4">
        <v>8080</v>
      </c>
      <c r="Q44" s="4">
        <v>130458.08</v>
      </c>
      <c r="R44" s="4">
        <v>31425.15</v>
      </c>
      <c r="S44" s="4">
        <v>200789.92</v>
      </c>
      <c r="T44" s="4">
        <v>0</v>
      </c>
      <c r="U44" s="4">
        <v>2976.2</v>
      </c>
      <c r="V44" s="4">
        <v>20486.98</v>
      </c>
      <c r="W44" s="4">
        <v>0</v>
      </c>
      <c r="X44" s="4">
        <v>146846.96</v>
      </c>
      <c r="Y44" s="4">
        <v>560.41</v>
      </c>
      <c r="Z44" s="4">
        <v>4560.6099999999997</v>
      </c>
      <c r="AA44" s="4">
        <v>4076.86</v>
      </c>
      <c r="AB44" s="4">
        <v>247988.24</v>
      </c>
      <c r="AC44" s="4">
        <v>285</v>
      </c>
      <c r="AD44" s="4">
        <v>0</v>
      </c>
      <c r="AE44" s="4">
        <v>2361.5</v>
      </c>
      <c r="AF44" s="4">
        <v>9673.82</v>
      </c>
      <c r="AG44" s="4">
        <v>8259.51</v>
      </c>
      <c r="AH44" s="4">
        <v>3051.74</v>
      </c>
      <c r="AI44" s="4">
        <v>3185.28</v>
      </c>
      <c r="AJ44" s="4">
        <v>19644.02</v>
      </c>
      <c r="AK44" s="4">
        <v>1600.5</v>
      </c>
      <c r="AL44" s="4">
        <v>0</v>
      </c>
      <c r="AM44" s="4">
        <v>2033.34</v>
      </c>
      <c r="AN44" s="4">
        <v>0</v>
      </c>
      <c r="AO44" s="4">
        <v>100000</v>
      </c>
      <c r="AP44" s="4">
        <v>0</v>
      </c>
      <c r="AQ44" s="4">
        <v>0</v>
      </c>
      <c r="AR44" s="4">
        <v>10000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15365.99</v>
      </c>
      <c r="AY44" s="4">
        <v>0</v>
      </c>
      <c r="AZ44" s="4">
        <v>0</v>
      </c>
      <c r="BA44" s="4">
        <v>25466.17</v>
      </c>
      <c r="BB44" s="4">
        <v>0</v>
      </c>
      <c r="BC44" s="4">
        <f>388557.7+306.03</f>
        <v>388863.73000000004</v>
      </c>
      <c r="BD44" s="4">
        <v>2726.85</v>
      </c>
      <c r="BE44" s="4">
        <v>0</v>
      </c>
      <c r="BF44" s="4">
        <v>660.32</v>
      </c>
      <c r="BG44" s="4">
        <v>0</v>
      </c>
      <c r="BH44" s="4">
        <v>0</v>
      </c>
      <c r="BI44" s="4">
        <v>0</v>
      </c>
      <c r="BJ44" s="4">
        <v>1005.9</v>
      </c>
      <c r="BK44" s="4">
        <v>0</v>
      </c>
      <c r="BL44" s="4">
        <f>125+754.75</f>
        <v>879.75</v>
      </c>
      <c r="BM44" s="4">
        <f t="shared" si="31"/>
        <v>3479257.3099999991</v>
      </c>
      <c r="BN44" s="4">
        <v>3479257.31</v>
      </c>
      <c r="BO44" s="4">
        <f t="shared" si="1"/>
        <v>0</v>
      </c>
      <c r="BP44" s="4">
        <v>839323.09</v>
      </c>
      <c r="BQ44" s="4">
        <v>41032</v>
      </c>
      <c r="BR44" s="4"/>
      <c r="BS44" s="7"/>
      <c r="BT44" s="4">
        <f t="shared" si="15"/>
        <v>2748135.7299999991</v>
      </c>
      <c r="BU44" s="9">
        <f t="shared" si="16"/>
        <v>401590.58</v>
      </c>
      <c r="BV44" s="9">
        <f t="shared" si="17"/>
        <v>2033.34</v>
      </c>
      <c r="BW44" s="9">
        <f t="shared" si="2"/>
        <v>201371.16999999998</v>
      </c>
      <c r="BX44" s="9">
        <f t="shared" si="3"/>
        <v>0</v>
      </c>
      <c r="BY44" s="9">
        <f t="shared" si="4"/>
        <v>126126.49</v>
      </c>
      <c r="BZ44" s="9">
        <f t="shared" si="18"/>
        <v>3479257.3099999991</v>
      </c>
      <c r="CA44" s="9">
        <f t="shared" si="5"/>
        <v>0</v>
      </c>
      <c r="CB44" s="7"/>
      <c r="CC44" s="4">
        <v>0</v>
      </c>
      <c r="CD44" s="4"/>
      <c r="CE44" s="4"/>
      <c r="CF44" s="4">
        <f t="shared" si="29"/>
        <v>0</v>
      </c>
      <c r="CG44" s="4">
        <f t="shared" si="26"/>
        <v>0</v>
      </c>
      <c r="CH44" s="4">
        <v>0</v>
      </c>
      <c r="CI44" s="4"/>
      <c r="CJ44" s="4"/>
      <c r="CK44" s="4"/>
      <c r="CL44" s="4"/>
      <c r="CM44" s="4"/>
      <c r="CN44" s="4">
        <v>0</v>
      </c>
      <c r="CO44" s="4">
        <v>0</v>
      </c>
      <c r="CP44" s="4">
        <v>401863.41</v>
      </c>
      <c r="CQ44" s="4">
        <v>1800.34</v>
      </c>
      <c r="CR44" s="4">
        <v>36</v>
      </c>
      <c r="CS44" s="4">
        <v>0</v>
      </c>
      <c r="CT44" s="4">
        <v>0</v>
      </c>
      <c r="CU44" s="4">
        <v>6743.45</v>
      </c>
      <c r="CV44" s="4">
        <v>128326.39999999999</v>
      </c>
      <c r="CW44" s="4">
        <f>6111.05+282939.23+284.02</f>
        <v>289334.3</v>
      </c>
      <c r="CX44" s="4">
        <v>0</v>
      </c>
      <c r="CY44" s="4">
        <v>58449</v>
      </c>
      <c r="CZ44" s="4">
        <v>0</v>
      </c>
      <c r="DA44" s="4">
        <v>25000</v>
      </c>
      <c r="DB44" s="4">
        <v>0</v>
      </c>
      <c r="DC44" s="4">
        <v>12</v>
      </c>
      <c r="DD44" s="4">
        <v>0</v>
      </c>
      <c r="DE44" s="4">
        <v>0</v>
      </c>
      <c r="DF44" s="4">
        <v>0</v>
      </c>
      <c r="DG44" s="4">
        <v>1606.5</v>
      </c>
      <c r="DH44" s="4">
        <v>0</v>
      </c>
      <c r="DI44" s="4">
        <v>0</v>
      </c>
      <c r="DJ44" s="4">
        <v>0</v>
      </c>
      <c r="DK44" s="4">
        <v>5330.21</v>
      </c>
      <c r="DL44" s="4">
        <v>0</v>
      </c>
      <c r="DM44" s="4">
        <v>2547.6999999999998</v>
      </c>
      <c r="DN44" s="4">
        <v>0</v>
      </c>
      <c r="DO44" s="4">
        <v>1931205.11</v>
      </c>
      <c r="DP44" s="4"/>
      <c r="DQ44" s="4"/>
      <c r="DR44" s="4">
        <v>8517.5</v>
      </c>
      <c r="DS44" s="4">
        <v>7.53</v>
      </c>
      <c r="DT44" s="4">
        <v>674629.03</v>
      </c>
      <c r="DU44" s="4">
        <v>0</v>
      </c>
      <c r="DV44" s="4">
        <v>0</v>
      </c>
      <c r="DW44" s="4"/>
      <c r="DX44" s="4">
        <v>22644.32</v>
      </c>
      <c r="DY44" s="4">
        <v>8241.4599999999991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52266</v>
      </c>
      <c r="EH44" s="4">
        <v>656.41</v>
      </c>
      <c r="EI44" s="4">
        <f>6504.35+410.22+83.33</f>
        <v>6997.9000000000005</v>
      </c>
      <c r="EJ44" s="4">
        <v>0</v>
      </c>
      <c r="EK44" s="4">
        <v>0</v>
      </c>
      <c r="EL44" s="4">
        <v>181.08</v>
      </c>
      <c r="EM44" s="4">
        <v>0</v>
      </c>
      <c r="EN44" s="4">
        <f>9951.92+799.75</f>
        <v>10751.67</v>
      </c>
      <c r="EO44" s="4">
        <f t="shared" si="28"/>
        <v>3637147.3199999994</v>
      </c>
      <c r="EP44" s="4">
        <v>3637147.32</v>
      </c>
      <c r="EQ44" s="4">
        <f t="shared" si="32"/>
        <v>0</v>
      </c>
      <c r="ER44" s="4">
        <v>681433.08</v>
      </c>
      <c r="ES44" s="4">
        <v>41032</v>
      </c>
      <c r="EU44" s="12"/>
      <c r="EV44" s="4">
        <f t="shared" si="20"/>
        <v>674636.56</v>
      </c>
      <c r="EW44" s="4">
        <f t="shared" si="21"/>
        <v>0</v>
      </c>
      <c r="EX44" s="4">
        <f t="shared" si="22"/>
        <v>1939722.61</v>
      </c>
      <c r="EY44" s="4">
        <f t="shared" si="23"/>
        <v>27986.53</v>
      </c>
      <c r="EZ44" s="4">
        <f t="shared" si="24"/>
        <v>994801.61999999988</v>
      </c>
      <c r="FA44" s="13">
        <v>0</v>
      </c>
      <c r="FB44" s="13">
        <f t="shared" si="9"/>
        <v>3637147.3199999994</v>
      </c>
      <c r="FC44" s="13">
        <f t="shared" si="10"/>
        <v>0</v>
      </c>
      <c r="FD44" s="12"/>
      <c r="FE44" s="13">
        <f t="shared" si="11"/>
        <v>3353130.8199999989</v>
      </c>
      <c r="FF44" s="13">
        <f t="shared" si="12"/>
        <v>2962510.76</v>
      </c>
      <c r="FG44" s="13">
        <f t="shared" ref="FG44" si="33">+FE44-FF44</f>
        <v>390620.05999999912</v>
      </c>
      <c r="FH44" s="13">
        <f t="shared" si="14"/>
        <v>2330342.669999999</v>
      </c>
    </row>
    <row r="45" spans="1:164" x14ac:dyDescent="0.35">
      <c r="C45" s="4"/>
      <c r="EX45" s="13"/>
    </row>
    <row r="46" spans="1:164" ht="56.5" customHeight="1" x14ac:dyDescent="0.35">
      <c r="A46" s="1" t="s">
        <v>138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/>
      <c r="BN46" s="1"/>
      <c r="BO46" s="1"/>
      <c r="BP46" s="1"/>
      <c r="BQ46" s="1"/>
      <c r="BR46" s="1"/>
      <c r="BT46" s="1"/>
      <c r="BU46" s="11"/>
      <c r="BV46" s="11"/>
      <c r="BW46" s="11"/>
      <c r="BX46" s="11"/>
      <c r="BY46" s="11"/>
      <c r="BZ46" s="11"/>
      <c r="CA46" s="11"/>
      <c r="CB46" s="1" t="s">
        <v>140</v>
      </c>
      <c r="CC46" s="1">
        <v>0</v>
      </c>
      <c r="CD46" s="1">
        <v>1</v>
      </c>
      <c r="CE46" s="1">
        <v>0</v>
      </c>
      <c r="CF46" s="1">
        <v>0</v>
      </c>
      <c r="CG46" s="1">
        <v>0</v>
      </c>
      <c r="CH46" s="1">
        <v>0</v>
      </c>
      <c r="CI46" s="1">
        <v>1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1</v>
      </c>
      <c r="DO46" s="1">
        <v>0</v>
      </c>
      <c r="DP46" s="1">
        <v>0</v>
      </c>
      <c r="DQ46" s="1">
        <v>0</v>
      </c>
      <c r="DR46" s="1">
        <v>0</v>
      </c>
      <c r="DS46" s="1">
        <v>1</v>
      </c>
      <c r="DT46" s="1">
        <v>1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1</v>
      </c>
      <c r="EF46" s="1">
        <v>0</v>
      </c>
      <c r="EG46" s="1">
        <v>0</v>
      </c>
      <c r="EH46" s="1">
        <v>0</v>
      </c>
      <c r="EI46" s="1">
        <v>0</v>
      </c>
      <c r="EJ46" s="1">
        <v>1</v>
      </c>
      <c r="EK46" s="1">
        <v>1</v>
      </c>
      <c r="EL46" s="1">
        <v>0</v>
      </c>
      <c r="EM46" s="1">
        <v>0</v>
      </c>
      <c r="EN46" s="1">
        <v>0</v>
      </c>
      <c r="EO46" s="1"/>
      <c r="EP46" s="1"/>
      <c r="EQ46" s="1"/>
      <c r="ER46" s="1"/>
      <c r="ES46" s="1"/>
      <c r="ET46" s="1"/>
      <c r="EV46" s="1"/>
      <c r="EW46" s="1"/>
      <c r="EX46" s="1"/>
      <c r="EY46" s="1"/>
      <c r="EZ46" s="1"/>
      <c r="FA46" s="1"/>
      <c r="FB46" s="1"/>
      <c r="FC46" s="1"/>
      <c r="FE46" s="1"/>
      <c r="FF46" s="1"/>
      <c r="FG46" s="1"/>
      <c r="FH46" s="20">
        <f>SUM(FH4:FH44)</f>
        <v>11659103.817499999</v>
      </c>
    </row>
    <row r="47" spans="1:164" ht="56.5" customHeight="1" x14ac:dyDescent="0.35">
      <c r="A47" s="11" t="s">
        <v>122</v>
      </c>
      <c r="B47" s="1">
        <v>0</v>
      </c>
      <c r="C47" s="1">
        <v>0</v>
      </c>
      <c r="D47" s="1">
        <v>0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</v>
      </c>
      <c r="AQ47" s="1">
        <v>0</v>
      </c>
      <c r="AR47" s="1">
        <v>1</v>
      </c>
      <c r="AS47" s="1">
        <v>0</v>
      </c>
      <c r="AT47" s="1">
        <v>1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1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/>
      <c r="BN47" s="1"/>
      <c r="BO47" s="1"/>
      <c r="BP47" s="1"/>
      <c r="BQ47" s="1"/>
      <c r="BR47" s="1"/>
      <c r="BT47" s="1"/>
      <c r="BU47" s="11"/>
      <c r="BV47" s="11"/>
      <c r="BW47" s="11"/>
      <c r="BX47" s="11"/>
      <c r="BY47" s="11"/>
      <c r="BZ47" s="11"/>
      <c r="CA47" s="11"/>
      <c r="CB47" s="1" t="s">
        <v>146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/>
      <c r="EP47" s="1"/>
      <c r="EQ47" s="1"/>
      <c r="ER47" s="1"/>
      <c r="ES47" s="1"/>
      <c r="ET47" s="1"/>
      <c r="EV47" s="1"/>
      <c r="EW47" s="1"/>
      <c r="EX47" s="1"/>
      <c r="EY47" s="1"/>
      <c r="EZ47" s="1"/>
      <c r="FA47" s="1"/>
      <c r="FB47" s="1"/>
      <c r="FC47" s="1"/>
      <c r="FE47" s="1"/>
      <c r="FF47" s="1"/>
      <c r="FG47" s="1"/>
      <c r="FH47" s="1"/>
    </row>
    <row r="48" spans="1:164" ht="56.5" customHeight="1" x14ac:dyDescent="0.35">
      <c r="A48" s="11" t="s">
        <v>123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0</v>
      </c>
      <c r="AO48" s="1">
        <v>0</v>
      </c>
      <c r="AP48" s="1">
        <v>0</v>
      </c>
      <c r="AQ48" s="1">
        <v>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/>
      <c r="BN48" s="1"/>
      <c r="BO48" s="1"/>
      <c r="BP48" s="1"/>
      <c r="BQ48" s="1"/>
      <c r="BR48" s="1"/>
      <c r="BT48" s="1"/>
      <c r="BU48" s="11"/>
      <c r="BV48" s="11"/>
      <c r="BW48" s="11"/>
      <c r="BX48" s="11"/>
      <c r="BY48" s="11"/>
      <c r="BZ48" s="11"/>
      <c r="CA48" s="11"/>
      <c r="CB48" s="1" t="s">
        <v>148</v>
      </c>
      <c r="CC48" s="1">
        <v>0</v>
      </c>
      <c r="CD48" s="1">
        <v>0</v>
      </c>
      <c r="CE48" s="1">
        <v>1</v>
      </c>
      <c r="CF48" s="1">
        <v>0</v>
      </c>
      <c r="CG48" s="1">
        <v>0</v>
      </c>
      <c r="CH48" s="1">
        <v>0</v>
      </c>
      <c r="CI48" s="1">
        <v>0</v>
      </c>
      <c r="CJ48" s="1">
        <v>1</v>
      </c>
      <c r="CK48" s="1">
        <v>1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1</v>
      </c>
      <c r="DP48" s="1">
        <v>1</v>
      </c>
      <c r="DQ48" s="1">
        <v>1</v>
      </c>
      <c r="DR48" s="1">
        <v>1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/>
      <c r="EP48" s="1"/>
      <c r="EQ48" s="1"/>
      <c r="ER48" s="1"/>
      <c r="ES48" s="1"/>
      <c r="ET48" s="1"/>
      <c r="EV48" s="1"/>
      <c r="EW48" s="1"/>
      <c r="EX48" s="1"/>
      <c r="EY48" s="1"/>
      <c r="EZ48" s="1"/>
      <c r="FA48" s="1"/>
      <c r="FB48" s="1"/>
      <c r="FC48" s="1"/>
      <c r="FE48" s="1"/>
      <c r="FF48" s="1"/>
      <c r="FG48" s="1"/>
      <c r="FH48" s="1"/>
    </row>
    <row r="49" spans="1:164" ht="56.5" customHeight="1" x14ac:dyDescent="0.35">
      <c r="A49" s="11" t="s">
        <v>124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/>
      <c r="BN49" s="1"/>
      <c r="BO49" s="1"/>
      <c r="BP49" s="1"/>
      <c r="BQ49" s="1"/>
      <c r="BR49" s="1"/>
      <c r="BT49" s="1"/>
      <c r="BU49" s="11"/>
      <c r="BV49" s="11"/>
      <c r="BW49" s="11"/>
      <c r="BX49" s="11"/>
      <c r="BY49" s="11"/>
      <c r="BZ49" s="11"/>
      <c r="CA49" s="11"/>
      <c r="CB49" s="1" t="s">
        <v>14</v>
      </c>
      <c r="CC49" s="1">
        <v>0</v>
      </c>
      <c r="CD49" s="1">
        <v>0</v>
      </c>
      <c r="CE49" s="1">
        <v>0</v>
      </c>
      <c r="CF49" s="1">
        <v>1</v>
      </c>
      <c r="CG49" s="1">
        <v>1</v>
      </c>
      <c r="CH49" s="1">
        <v>0</v>
      </c>
      <c r="CI49" s="1">
        <v>0</v>
      </c>
      <c r="CJ49" s="1">
        <v>0</v>
      </c>
      <c r="CK49" s="1">
        <v>0</v>
      </c>
      <c r="CL49" s="1">
        <v>1</v>
      </c>
      <c r="CM49" s="1">
        <v>1</v>
      </c>
      <c r="CN49" s="1">
        <v>1</v>
      </c>
      <c r="CO49" s="1">
        <v>1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1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1</v>
      </c>
      <c r="DK49" s="1">
        <v>1</v>
      </c>
      <c r="DL49" s="1">
        <v>1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1</v>
      </c>
      <c r="DV49" s="1">
        <v>1</v>
      </c>
      <c r="DW49" s="1">
        <v>1</v>
      </c>
      <c r="DX49" s="1">
        <v>1</v>
      </c>
      <c r="DY49" s="1">
        <v>0</v>
      </c>
      <c r="DZ49" s="1">
        <v>0</v>
      </c>
      <c r="EA49" s="1">
        <v>0</v>
      </c>
      <c r="EB49" s="1">
        <v>1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/>
      <c r="EP49" s="1"/>
      <c r="EQ49" s="1"/>
      <c r="ER49" s="1"/>
      <c r="ES49" s="1"/>
      <c r="ET49" s="1"/>
      <c r="EV49" s="1"/>
      <c r="EW49" s="1"/>
      <c r="EX49" s="1"/>
      <c r="EY49" s="1"/>
      <c r="EZ49" s="1"/>
      <c r="FA49" s="1"/>
      <c r="FB49" s="1"/>
      <c r="FC49" s="1"/>
      <c r="FE49" s="1"/>
      <c r="FF49" s="1"/>
      <c r="FG49" s="1"/>
      <c r="FH49" s="1"/>
    </row>
    <row r="50" spans="1:164" ht="56.5" customHeight="1" x14ac:dyDescent="0.35">
      <c r="A50" s="11" t="s">
        <v>125</v>
      </c>
      <c r="B50" s="1">
        <v>1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</v>
      </c>
      <c r="Y50" s="1">
        <v>1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</v>
      </c>
      <c r="AW50" s="1">
        <v>1</v>
      </c>
      <c r="AX50" s="1">
        <v>1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1</v>
      </c>
      <c r="BM50" s="1"/>
      <c r="BN50" s="1"/>
      <c r="BO50" s="1"/>
      <c r="BP50" s="1"/>
      <c r="BQ50" s="1"/>
      <c r="BR50" s="1"/>
      <c r="BT50" s="1"/>
      <c r="BU50" s="11"/>
      <c r="BV50" s="11"/>
      <c r="BW50" s="11"/>
      <c r="BX50" s="11"/>
      <c r="BY50" s="11"/>
      <c r="BZ50" s="11"/>
      <c r="CA50" s="11"/>
      <c r="CB50" s="1" t="s">
        <v>149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1</v>
      </c>
      <c r="CQ50" s="1">
        <v>1</v>
      </c>
      <c r="CR50" s="1">
        <v>1</v>
      </c>
      <c r="CS50" s="1">
        <v>1</v>
      </c>
      <c r="CT50" s="1">
        <v>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>
        <v>0</v>
      </c>
      <c r="DD50" s="1">
        <v>1</v>
      </c>
      <c r="DE50" s="1">
        <v>1</v>
      </c>
      <c r="DF50" s="1">
        <v>1</v>
      </c>
      <c r="DG50" s="1">
        <v>1</v>
      </c>
      <c r="DH50" s="1">
        <v>1</v>
      </c>
      <c r="DI50" s="1">
        <v>1</v>
      </c>
      <c r="DJ50" s="1">
        <v>0</v>
      </c>
      <c r="DK50" s="1">
        <v>0</v>
      </c>
      <c r="DL50" s="1">
        <v>0</v>
      </c>
      <c r="DM50" s="1">
        <v>1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1</v>
      </c>
      <c r="DZ50" s="1">
        <v>1</v>
      </c>
      <c r="EA50" s="1">
        <v>1</v>
      </c>
      <c r="EB50" s="1">
        <v>0</v>
      </c>
      <c r="EC50" s="1">
        <v>1</v>
      </c>
      <c r="ED50" s="1">
        <v>1</v>
      </c>
      <c r="EE50" s="1">
        <v>0</v>
      </c>
      <c r="EF50" s="1">
        <v>1</v>
      </c>
      <c r="EG50" s="1">
        <v>1</v>
      </c>
      <c r="EH50" s="1">
        <v>1</v>
      </c>
      <c r="EI50" s="1">
        <v>1</v>
      </c>
      <c r="EJ50" s="1">
        <v>0</v>
      </c>
      <c r="EK50" s="1">
        <v>0</v>
      </c>
      <c r="EL50" s="1">
        <v>1</v>
      </c>
      <c r="EM50" s="1">
        <v>1</v>
      </c>
      <c r="EN50" s="1">
        <v>1</v>
      </c>
      <c r="EO50" s="1"/>
      <c r="EP50" s="1"/>
      <c r="EQ50" s="1"/>
      <c r="ER50" s="1"/>
      <c r="ES50" s="1"/>
      <c r="ET50" s="1"/>
      <c r="EV50" s="1"/>
      <c r="EW50" s="1"/>
      <c r="EX50" s="1"/>
      <c r="EY50" s="1"/>
      <c r="EZ50" s="1"/>
      <c r="FA50" s="1"/>
      <c r="FB50" s="1"/>
      <c r="FC50" s="1"/>
      <c r="FE50" s="1"/>
      <c r="FF50" s="1"/>
      <c r="FG50" s="1"/>
      <c r="FH50" s="1"/>
    </row>
    <row r="51" spans="1:164" ht="56.5" customHeight="1" x14ac:dyDescent="0.35">
      <c r="A51" s="11" t="s">
        <v>126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1</v>
      </c>
      <c r="BF51" s="1">
        <v>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/>
      <c r="BN51" s="1"/>
      <c r="BO51" s="1"/>
      <c r="BP51" s="1"/>
      <c r="BQ51" s="1"/>
      <c r="BR51" s="1"/>
      <c r="BT51" s="1"/>
      <c r="BU51" s="11"/>
      <c r="BV51" s="11"/>
      <c r="BW51" s="11"/>
      <c r="BX51" s="11"/>
      <c r="BY51" s="11"/>
      <c r="BZ51" s="11"/>
      <c r="CA51" s="1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V51" s="1"/>
      <c r="EW51" s="1"/>
      <c r="EX51" s="1"/>
      <c r="EY51" s="1"/>
      <c r="EZ51" s="1"/>
      <c r="FA51" s="1"/>
      <c r="FB51" s="1"/>
      <c r="FC51" s="1"/>
      <c r="FE51" s="1"/>
      <c r="FF51" s="1"/>
      <c r="FG51" s="1"/>
      <c r="FH51" s="1"/>
    </row>
  </sheetData>
  <mergeCells count="4">
    <mergeCell ref="B1:BP1"/>
    <mergeCell ref="CC1:EN1"/>
    <mergeCell ref="CC2:CG2"/>
    <mergeCell ref="CH2:C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Brandeis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J. Hall</dc:creator>
  <cp:lastModifiedBy>George J. Hall</cp:lastModifiedBy>
  <cp:lastPrinted>2025-11-10T16:51:42Z</cp:lastPrinted>
  <dcterms:created xsi:type="dcterms:W3CDTF">2025-11-07T19:44:12Z</dcterms:created>
  <dcterms:modified xsi:type="dcterms:W3CDTF">2026-02-01T21:40:51Z</dcterms:modified>
</cp:coreProperties>
</file>