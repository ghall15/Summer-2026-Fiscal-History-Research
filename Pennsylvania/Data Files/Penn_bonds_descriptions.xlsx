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ll\Documents\Fiscal_History\State Debts\Pennsylvania\"/>
    </mc:Choice>
  </mc:AlternateContent>
  <xr:revisionPtr revIDLastSave="0" documentId="13_ncr:1_{234CD977-5C28-46E0-84FA-C1F8B084E75D}" xr6:coauthVersionLast="36" xr6:coauthVersionMax="36" xr10:uidLastSave="{00000000-0000-0000-0000-000000000000}"/>
  <bookViews>
    <workbookView xWindow="0" yWindow="0" windowWidth="19370" windowHeight="6710" xr2:uid="{C3E81A7F-5281-4AA5-8C84-2DC6E9926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4" i="1"/>
  <c r="L25" i="1" l="1"/>
  <c r="L20" i="1"/>
</calcChain>
</file>

<file path=xl/sharedStrings.xml><?xml version="1.0" encoding="utf-8"?>
<sst xmlns="http://schemas.openxmlformats.org/spreadsheetml/2006/main" count="181" uniqueCount="105">
  <si>
    <t>S-2206</t>
  </si>
  <si>
    <t>Pensylvania 4.5s, 1863</t>
  </si>
  <si>
    <t>State Bond</t>
  </si>
  <si>
    <t>4.5s</t>
  </si>
  <si>
    <t>S-2210</t>
  </si>
  <si>
    <t>Pennsylvania 5s</t>
  </si>
  <si>
    <t>5s</t>
  </si>
  <si>
    <t>S-2216</t>
  </si>
  <si>
    <t>Pennsylvania 5s, Coupon</t>
  </si>
  <si>
    <t>S-2220</t>
  </si>
  <si>
    <t>Pennsylvania 5s, r. 1834</t>
  </si>
  <si>
    <t>S-2230</t>
  </si>
  <si>
    <t>Pennsylvania 5s, r. 1839</t>
  </si>
  <si>
    <t>S-2236</t>
  </si>
  <si>
    <t>Pennsylvania 5s, r. 1840</t>
  </si>
  <si>
    <t>S-2240</t>
  </si>
  <si>
    <t>Pennsylvania 5s, r. 1841</t>
  </si>
  <si>
    <t>S-2250</t>
  </si>
  <si>
    <t>Pennsylvania 5s, r. 1846</t>
  </si>
  <si>
    <t>S-2260</t>
  </si>
  <si>
    <t>Pennsylvania 5s, r. 1846-1872</t>
  </si>
  <si>
    <t>1846-1872</t>
  </si>
  <si>
    <t>S-2270</t>
  </si>
  <si>
    <t>Pennsylvania 5s, r. 1850</t>
  </si>
  <si>
    <t>S-2276</t>
  </si>
  <si>
    <t>Pennsylvania 5s, 1851</t>
  </si>
  <si>
    <t>S-2280</t>
  </si>
  <si>
    <t>Pennsylvania 5s, r. 1853</t>
  </si>
  <si>
    <t>S-2290</t>
  </si>
  <si>
    <t>Pennsylvania 5s, r. 1853/54</t>
  </si>
  <si>
    <t>1853/54</t>
  </si>
  <si>
    <t>S-2300</t>
  </si>
  <si>
    <t>Pennsylvania 5s, r. 1854</t>
  </si>
  <si>
    <t>S-2310</t>
  </si>
  <si>
    <t>Pennsylvania 5s, r. 1856</t>
  </si>
  <si>
    <t>S-2320</t>
  </si>
  <si>
    <t>Pennsylvania 5s, r. 1858</t>
  </si>
  <si>
    <t>S-2330</t>
  </si>
  <si>
    <t>Pennsylvania 5s, r. 1859</t>
  </si>
  <si>
    <t>S-2340</t>
  </si>
  <si>
    <t>Pennsylvania 5s, r. 1860</t>
  </si>
  <si>
    <t>S-2350</t>
  </si>
  <si>
    <t>Pennsylvania 5s, r. 1861</t>
  </si>
  <si>
    <t>S-2360</t>
  </si>
  <si>
    <t>Pennsylvania 5s, r. 1862</t>
  </si>
  <si>
    <t>S-2366</t>
  </si>
  <si>
    <t>Pennsylvania 5s, 1864</t>
  </si>
  <si>
    <t>S-2370</t>
  </si>
  <si>
    <t>Pennsylvania 5s, r. 1865</t>
  </si>
  <si>
    <t>S-2380</t>
  </si>
  <si>
    <t>Pennsylvania 5s, 1858/60</t>
  </si>
  <si>
    <t>1858/60</t>
  </si>
  <si>
    <t>S-2390</t>
  </si>
  <si>
    <t>Pennsylvania 6s</t>
  </si>
  <si>
    <t>6s</t>
  </si>
  <si>
    <t>S-2400</t>
  </si>
  <si>
    <t>Pennsylvania 6s, r. 1843</t>
  </si>
  <si>
    <t>S-2410</t>
  </si>
  <si>
    <t>Pennsylvania 6s, r. 1846</t>
  </si>
  <si>
    <t>S-2420</t>
  </si>
  <si>
    <t>Pennsylvania 6s, r. 1846-1847</t>
  </si>
  <si>
    <t>1846-1847</t>
  </si>
  <si>
    <t>S-2430</t>
  </si>
  <si>
    <t>Pennsylvania 6s, r. 1846-1879</t>
  </si>
  <si>
    <t>1846-1879</t>
  </si>
  <si>
    <t>S-2440</t>
  </si>
  <si>
    <t>Pennsylvania 6s, r. 1847</t>
  </si>
  <si>
    <t>S-2446</t>
  </si>
  <si>
    <t>Pennsylvania 6s, 1879</t>
  </si>
  <si>
    <t>S-2450</t>
  </si>
  <si>
    <t>Pennsylvania 6s, semi annual 6s, r. 1846</t>
  </si>
  <si>
    <t>S-2456</t>
  </si>
  <si>
    <t>Pennsylvania 6s, New Loan</t>
  </si>
  <si>
    <t>S-2460</t>
  </si>
  <si>
    <t>Pennsylvania new annual 5s</t>
  </si>
  <si>
    <t>S-2470</t>
  </si>
  <si>
    <t>Pennsylvania old annual 5s</t>
  </si>
  <si>
    <t>S-2476</t>
  </si>
  <si>
    <t>Pennsylvania Debts</t>
  </si>
  <si>
    <t>Stock loan, per act of March 1, 1833</t>
  </si>
  <si>
    <t>Maturity</t>
  </si>
  <si>
    <t>Month</t>
  </si>
  <si>
    <t>Day</t>
  </si>
  <si>
    <t>Year</t>
  </si>
  <si>
    <t>Inclined-plane loan, per act pf April 10, 1849</t>
  </si>
  <si>
    <t>Stock loan, per act of March 24, 1828</t>
  </si>
  <si>
    <t>Stock loan, per act of March 13, 1830</t>
  </si>
  <si>
    <t>Stock loan, per act of March 21, 1831</t>
  </si>
  <si>
    <t>Stock loan, per act of March 28, 1831</t>
  </si>
  <si>
    <t>Stock loan, per acts 3/30/1832 &amp; 4/5/1832</t>
  </si>
  <si>
    <t>Stock loan, per acts of 2/16/1833 &amp; 3/27/1833</t>
  </si>
  <si>
    <t>Stock loan, per act of April 5, 1834</t>
  </si>
  <si>
    <t>Stock loan, per act of 1835</t>
  </si>
  <si>
    <t>Stock loan, per act of January 26, 1839</t>
  </si>
  <si>
    <t>Stock loan, per act pf March 16, 1839</t>
  </si>
  <si>
    <t>Price Start Date</t>
  </si>
  <si>
    <t xml:space="preserve">Month </t>
  </si>
  <si>
    <t xml:space="preserve">Day </t>
  </si>
  <si>
    <t>Price End Date</t>
  </si>
  <si>
    <t>Full?</t>
  </si>
  <si>
    <t>trades after its maturity date</t>
  </si>
  <si>
    <t>Quantity Outstanding</t>
  </si>
  <si>
    <t>ID</t>
  </si>
  <si>
    <t>bid row</t>
  </si>
  <si>
    <t>ask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</si>
</sst>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164" fontId="0" fillId="0" borderId="0" xfId="0" applyNumberFormat="1" applyFill="1"/>
    <xf numFmtId="43" fontId="0" fillId="0" borderId="0" xfId="1" applyFont="1" applyFill="1"/>
    <xf numFmtId="1" fontId="0" fillId="0" borderId="0" xfId="1" applyNumberFormat="1" applyFont="1" applyFill="1"/>
    <xf numFmtId="1" fontId="0" fillId="0" borderId="0" xfId="0" applyNumberForma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C0EA-199E-4418-B455-3BB3CE37852D}">
  <dimension ref="A1:V39"/>
  <sheetViews>
    <sheetView tabSelected="1" topLeftCell="D1" workbookViewId="0">
      <selection activeCell="I31" sqref="I31"/>
    </sheetView>
  </sheetViews>
  <sheetFormatPr defaultRowHeight="14.5" x14ac:dyDescent="0.35"/>
  <cols>
    <col min="1" max="1" width="8.7265625" style="1"/>
    <col min="2" max="2" width="12.453125" style="2" customWidth="1"/>
    <col min="3" max="3" width="35" style="2" customWidth="1"/>
    <col min="4" max="4" width="41.453125" style="2" customWidth="1"/>
    <col min="5" max="5" width="16.81640625" style="2" customWidth="1"/>
    <col min="6" max="6" width="6.26953125" style="2" customWidth="1"/>
    <col min="7" max="7" width="7.90625" style="2" customWidth="1"/>
    <col min="8" max="9" width="6.6328125" style="2" customWidth="1"/>
    <col min="10" max="11" width="8.7265625" style="2" customWidth="1"/>
    <col min="12" max="12" width="17.7265625" style="2" customWidth="1"/>
    <col min="13" max="20" width="8.26953125" style="2" customWidth="1"/>
    <col min="21" max="16384" width="8.7265625" style="2"/>
  </cols>
  <sheetData>
    <row r="1" spans="1:22" x14ac:dyDescent="0.35">
      <c r="H1" s="3" t="s">
        <v>80</v>
      </c>
      <c r="I1" s="3"/>
      <c r="J1" s="3"/>
      <c r="K1" s="3"/>
      <c r="L1" s="4" t="s">
        <v>101</v>
      </c>
      <c r="M1" s="5"/>
      <c r="N1" s="5"/>
      <c r="O1" s="3" t="s">
        <v>95</v>
      </c>
      <c r="P1" s="3"/>
      <c r="Q1" s="3"/>
      <c r="R1" s="3" t="s">
        <v>98</v>
      </c>
      <c r="S1" s="3"/>
      <c r="T1" s="3"/>
      <c r="U1" s="2" t="s">
        <v>99</v>
      </c>
    </row>
    <row r="2" spans="1:22" x14ac:dyDescent="0.35">
      <c r="B2" s="2" t="s">
        <v>102</v>
      </c>
      <c r="H2" s="1" t="s">
        <v>81</v>
      </c>
      <c r="I2" s="1" t="s">
        <v>82</v>
      </c>
      <c r="J2" s="1" t="s">
        <v>83</v>
      </c>
      <c r="K2" s="1" t="s">
        <v>83</v>
      </c>
      <c r="L2" s="4"/>
      <c r="M2" s="5" t="s">
        <v>103</v>
      </c>
      <c r="N2" s="5" t="s">
        <v>104</v>
      </c>
      <c r="O2" s="1" t="s">
        <v>96</v>
      </c>
      <c r="P2" s="1" t="s">
        <v>97</v>
      </c>
      <c r="Q2" s="1" t="s">
        <v>83</v>
      </c>
      <c r="R2" s="1" t="s">
        <v>81</v>
      </c>
      <c r="S2" s="1" t="s">
        <v>82</v>
      </c>
      <c r="T2" s="1" t="s">
        <v>83</v>
      </c>
    </row>
    <row r="3" spans="1:22" x14ac:dyDescent="0.35">
      <c r="A3" s="1">
        <v>1</v>
      </c>
      <c r="B3" s="2" t="s">
        <v>0</v>
      </c>
      <c r="C3" s="2" t="s">
        <v>1</v>
      </c>
      <c r="D3" s="2" t="s">
        <v>79</v>
      </c>
      <c r="E3" s="2" t="s">
        <v>2</v>
      </c>
      <c r="F3" s="2" t="s">
        <v>3</v>
      </c>
      <c r="G3" s="6">
        <v>4.5</v>
      </c>
      <c r="H3" s="2">
        <v>4</v>
      </c>
      <c r="I3" s="2">
        <v>10</v>
      </c>
      <c r="J3" s="2">
        <v>1863</v>
      </c>
      <c r="K3" s="2">
        <v>1863</v>
      </c>
      <c r="L3" s="7">
        <v>101200</v>
      </c>
      <c r="M3" s="8"/>
      <c r="N3" s="8"/>
    </row>
    <row r="4" spans="1:22" x14ac:dyDescent="0.35">
      <c r="A4" s="1">
        <f>+A3+1</f>
        <v>2</v>
      </c>
      <c r="B4" s="2" t="s">
        <v>4</v>
      </c>
      <c r="C4" s="2" t="s">
        <v>5</v>
      </c>
      <c r="E4" s="2" t="s">
        <v>2</v>
      </c>
      <c r="F4" s="2" t="s">
        <v>6</v>
      </c>
      <c r="G4" s="6">
        <v>5</v>
      </c>
      <c r="L4" s="7"/>
      <c r="M4" s="8">
        <v>108</v>
      </c>
      <c r="N4" s="8">
        <v>109</v>
      </c>
      <c r="O4" s="2">
        <v>5</v>
      </c>
      <c r="P4" s="2">
        <v>2</v>
      </c>
      <c r="Q4" s="2">
        <v>1825</v>
      </c>
      <c r="R4" s="2">
        <v>7</v>
      </c>
      <c r="S4" s="2">
        <v>16</v>
      </c>
      <c r="T4" s="2">
        <v>1831</v>
      </c>
      <c r="U4" s="2">
        <v>1</v>
      </c>
    </row>
    <row r="5" spans="1:22" x14ac:dyDescent="0.35">
      <c r="A5" s="1">
        <f t="shared" ref="A5:A37" si="0">+A4+1</f>
        <v>3</v>
      </c>
      <c r="B5" s="2" t="s">
        <v>7</v>
      </c>
      <c r="C5" s="2" t="s">
        <v>8</v>
      </c>
      <c r="E5" s="2" t="s">
        <v>2</v>
      </c>
      <c r="F5" s="2" t="s">
        <v>6</v>
      </c>
      <c r="G5" s="6">
        <v>5</v>
      </c>
      <c r="L5" s="7"/>
      <c r="M5" s="8"/>
      <c r="N5" s="8"/>
    </row>
    <row r="6" spans="1:22" x14ac:dyDescent="0.35">
      <c r="A6" s="1">
        <f t="shared" si="0"/>
        <v>4</v>
      </c>
      <c r="B6" s="2" t="s">
        <v>9</v>
      </c>
      <c r="C6" s="2" t="s">
        <v>10</v>
      </c>
      <c r="E6" s="2" t="s">
        <v>2</v>
      </c>
      <c r="F6" s="2" t="s">
        <v>6</v>
      </c>
      <c r="G6" s="6">
        <v>5</v>
      </c>
      <c r="H6" s="2">
        <v>7</v>
      </c>
      <c r="I6" s="2">
        <v>1</v>
      </c>
      <c r="J6" s="2">
        <v>1834</v>
      </c>
      <c r="K6" s="2">
        <v>1834</v>
      </c>
      <c r="L6" s="7"/>
      <c r="M6" s="8">
        <v>110</v>
      </c>
      <c r="N6" s="8">
        <v>111</v>
      </c>
      <c r="O6" s="2">
        <v>7</v>
      </c>
      <c r="P6" s="2">
        <v>23</v>
      </c>
      <c r="Q6" s="2">
        <v>1831</v>
      </c>
      <c r="R6" s="2">
        <v>1</v>
      </c>
      <c r="S6" s="2">
        <v>10</v>
      </c>
      <c r="T6" s="2">
        <v>1835</v>
      </c>
      <c r="U6" s="2">
        <v>1</v>
      </c>
      <c r="V6" s="2" t="s">
        <v>100</v>
      </c>
    </row>
    <row r="7" spans="1:22" x14ac:dyDescent="0.35">
      <c r="A7" s="1">
        <f t="shared" si="0"/>
        <v>5</v>
      </c>
      <c r="B7" s="2" t="s">
        <v>11</v>
      </c>
      <c r="C7" s="2" t="s">
        <v>12</v>
      </c>
      <c r="E7" s="2" t="s">
        <v>2</v>
      </c>
      <c r="F7" s="2" t="s">
        <v>6</v>
      </c>
      <c r="G7" s="6">
        <v>5</v>
      </c>
      <c r="H7" s="2">
        <v>7</v>
      </c>
      <c r="I7" s="2">
        <v>1</v>
      </c>
      <c r="J7" s="2">
        <v>1839</v>
      </c>
      <c r="K7" s="2">
        <v>1839</v>
      </c>
      <c r="L7" s="7"/>
      <c r="M7" s="8">
        <v>112</v>
      </c>
      <c r="N7" s="8">
        <v>113</v>
      </c>
      <c r="O7" s="2">
        <v>7</v>
      </c>
      <c r="P7" s="2">
        <v>23</v>
      </c>
      <c r="Q7" s="2">
        <v>1831</v>
      </c>
      <c r="R7" s="2">
        <v>12</v>
      </c>
      <c r="S7" s="2">
        <v>21</v>
      </c>
      <c r="T7" s="2">
        <v>1839</v>
      </c>
      <c r="U7" s="2">
        <v>1</v>
      </c>
    </row>
    <row r="8" spans="1:22" x14ac:dyDescent="0.35">
      <c r="A8" s="1">
        <f t="shared" si="0"/>
        <v>6</v>
      </c>
      <c r="B8" s="2" t="s">
        <v>13</v>
      </c>
      <c r="C8" s="2" t="s">
        <v>14</v>
      </c>
      <c r="E8" s="2" t="s">
        <v>2</v>
      </c>
      <c r="F8" s="2" t="s">
        <v>6</v>
      </c>
      <c r="G8" s="6">
        <v>5</v>
      </c>
      <c r="J8" s="2">
        <v>1840</v>
      </c>
      <c r="K8" s="2">
        <v>1840</v>
      </c>
      <c r="L8" s="7"/>
      <c r="M8" s="8"/>
      <c r="N8" s="8"/>
    </row>
    <row r="9" spans="1:22" x14ac:dyDescent="0.35">
      <c r="A9" s="1">
        <f t="shared" si="0"/>
        <v>7</v>
      </c>
      <c r="B9" s="2" t="s">
        <v>15</v>
      </c>
      <c r="C9" s="2" t="s">
        <v>16</v>
      </c>
      <c r="E9" s="2" t="s">
        <v>2</v>
      </c>
      <c r="F9" s="2" t="s">
        <v>6</v>
      </c>
      <c r="G9" s="6">
        <v>5</v>
      </c>
      <c r="H9" s="2">
        <v>7</v>
      </c>
      <c r="I9" s="2">
        <v>1</v>
      </c>
      <c r="J9" s="2">
        <v>1841</v>
      </c>
      <c r="K9" s="2">
        <v>1841</v>
      </c>
      <c r="L9" s="7"/>
      <c r="M9" s="8">
        <v>114</v>
      </c>
      <c r="N9" s="8">
        <v>115</v>
      </c>
      <c r="O9" s="2">
        <v>7</v>
      </c>
      <c r="P9" s="2">
        <v>23</v>
      </c>
      <c r="Q9" s="2">
        <v>1831</v>
      </c>
      <c r="R9" s="2">
        <v>9</v>
      </c>
      <c r="S9" s="2">
        <v>17</v>
      </c>
      <c r="T9" s="2">
        <v>1842</v>
      </c>
      <c r="U9" s="2">
        <v>1</v>
      </c>
      <c r="V9" s="2" t="s">
        <v>100</v>
      </c>
    </row>
    <row r="10" spans="1:22" x14ac:dyDescent="0.35">
      <c r="A10" s="1">
        <f t="shared" si="0"/>
        <v>8</v>
      </c>
      <c r="B10" s="2" t="s">
        <v>17</v>
      </c>
      <c r="C10" s="2" t="s">
        <v>18</v>
      </c>
      <c r="E10" s="2" t="s">
        <v>2</v>
      </c>
      <c r="F10" s="2" t="s">
        <v>6</v>
      </c>
      <c r="G10" s="6">
        <v>5</v>
      </c>
      <c r="H10" s="2">
        <v>7</v>
      </c>
      <c r="I10" s="2">
        <v>1</v>
      </c>
      <c r="J10" s="2">
        <v>1846</v>
      </c>
      <c r="K10" s="2">
        <v>1846</v>
      </c>
      <c r="L10" s="7"/>
      <c r="M10" s="8">
        <v>116</v>
      </c>
      <c r="N10" s="8">
        <v>117</v>
      </c>
      <c r="O10" s="2">
        <v>7</v>
      </c>
      <c r="P10" s="2">
        <v>23</v>
      </c>
      <c r="Q10" s="2">
        <v>1831</v>
      </c>
      <c r="R10" s="2">
        <v>2</v>
      </c>
      <c r="S10" s="2">
        <v>16</v>
      </c>
      <c r="T10" s="2">
        <v>1850</v>
      </c>
      <c r="U10" s="2">
        <v>1</v>
      </c>
      <c r="V10" s="2" t="s">
        <v>100</v>
      </c>
    </row>
    <row r="11" spans="1:22" x14ac:dyDescent="0.35">
      <c r="A11" s="1">
        <f t="shared" si="0"/>
        <v>9</v>
      </c>
      <c r="B11" s="2" t="s">
        <v>19</v>
      </c>
      <c r="C11" s="2" t="s">
        <v>20</v>
      </c>
      <c r="E11" s="2" t="s">
        <v>2</v>
      </c>
      <c r="F11" s="2" t="s">
        <v>6</v>
      </c>
      <c r="G11" s="6">
        <v>5</v>
      </c>
      <c r="H11" s="2">
        <v>7</v>
      </c>
      <c r="I11" s="2">
        <v>1</v>
      </c>
      <c r="J11" s="2">
        <v>1872</v>
      </c>
      <c r="K11" s="2" t="s">
        <v>21</v>
      </c>
      <c r="L11" s="7"/>
      <c r="M11" s="8">
        <v>100</v>
      </c>
      <c r="N11" s="8">
        <v>101</v>
      </c>
      <c r="O11" s="2">
        <v>2</v>
      </c>
      <c r="P11" s="2">
        <v>23</v>
      </c>
      <c r="Q11" s="2">
        <v>1850</v>
      </c>
      <c r="R11" s="2">
        <v>12</v>
      </c>
      <c r="S11" s="2">
        <v>28</v>
      </c>
      <c r="T11" s="2">
        <v>1850</v>
      </c>
    </row>
    <row r="12" spans="1:22" x14ac:dyDescent="0.35">
      <c r="A12" s="1">
        <f t="shared" si="0"/>
        <v>10</v>
      </c>
      <c r="B12" s="2" t="s">
        <v>22</v>
      </c>
      <c r="C12" s="2" t="s">
        <v>23</v>
      </c>
      <c r="E12" s="2" t="s">
        <v>2</v>
      </c>
      <c r="F12" s="2" t="s">
        <v>6</v>
      </c>
      <c r="G12" s="6">
        <v>5</v>
      </c>
      <c r="H12" s="2">
        <v>7</v>
      </c>
      <c r="I12" s="2">
        <v>1</v>
      </c>
      <c r="J12" s="2">
        <v>1850</v>
      </c>
      <c r="K12" s="2">
        <v>1850</v>
      </c>
      <c r="L12" s="7"/>
      <c r="M12" s="8">
        <v>118</v>
      </c>
      <c r="N12" s="8">
        <v>119</v>
      </c>
      <c r="O12" s="2">
        <v>7</v>
      </c>
      <c r="P12" s="2">
        <v>23</v>
      </c>
      <c r="Q12" s="2">
        <v>1831</v>
      </c>
      <c r="R12" s="2">
        <v>12</v>
      </c>
      <c r="S12" s="2">
        <v>23</v>
      </c>
      <c r="T12" s="2">
        <v>1843</v>
      </c>
    </row>
    <row r="13" spans="1:22" x14ac:dyDescent="0.35">
      <c r="A13" s="1">
        <f t="shared" si="0"/>
        <v>11</v>
      </c>
      <c r="B13" s="2" t="s">
        <v>24</v>
      </c>
      <c r="C13" s="2" t="s">
        <v>25</v>
      </c>
      <c r="E13" s="2" t="s">
        <v>2</v>
      </c>
      <c r="F13" s="2" t="s">
        <v>6</v>
      </c>
      <c r="G13" s="6">
        <v>5</v>
      </c>
      <c r="J13" s="2">
        <v>1851</v>
      </c>
      <c r="K13" s="2">
        <v>1851</v>
      </c>
      <c r="L13" s="7"/>
      <c r="M13" s="8"/>
      <c r="N13" s="8"/>
    </row>
    <row r="14" spans="1:22" x14ac:dyDescent="0.35">
      <c r="A14" s="1">
        <f t="shared" si="0"/>
        <v>12</v>
      </c>
      <c r="B14" s="2" t="s">
        <v>26</v>
      </c>
      <c r="C14" s="2" t="s">
        <v>27</v>
      </c>
      <c r="D14" s="2" t="s">
        <v>85</v>
      </c>
      <c r="E14" s="2" t="s">
        <v>2</v>
      </c>
      <c r="F14" s="2" t="s">
        <v>6</v>
      </c>
      <c r="G14" s="6">
        <v>5</v>
      </c>
      <c r="H14" s="2">
        <v>12</v>
      </c>
      <c r="I14" s="2">
        <v>1</v>
      </c>
      <c r="J14" s="2">
        <v>1853</v>
      </c>
      <c r="K14" s="2">
        <v>1853</v>
      </c>
      <c r="L14" s="7">
        <v>1339671.99</v>
      </c>
      <c r="M14" s="8">
        <v>120</v>
      </c>
      <c r="N14" s="8">
        <v>121</v>
      </c>
      <c r="O14" s="2">
        <v>2</v>
      </c>
      <c r="P14" s="2">
        <v>7</v>
      </c>
      <c r="Q14" s="2">
        <v>1835</v>
      </c>
      <c r="R14" s="2">
        <v>12</v>
      </c>
      <c r="S14" s="2">
        <v>17</v>
      </c>
      <c r="T14" s="2">
        <v>1842</v>
      </c>
    </row>
    <row r="15" spans="1:22" x14ac:dyDescent="0.35">
      <c r="A15" s="1">
        <f t="shared" si="0"/>
        <v>13</v>
      </c>
      <c r="B15" s="2" t="s">
        <v>28</v>
      </c>
      <c r="C15" s="2" t="s">
        <v>29</v>
      </c>
      <c r="E15" s="2" t="s">
        <v>2</v>
      </c>
      <c r="F15" s="2" t="s">
        <v>6</v>
      </c>
      <c r="G15" s="6">
        <v>5</v>
      </c>
      <c r="H15" s="2">
        <v>7</v>
      </c>
      <c r="I15" s="2">
        <v>1</v>
      </c>
      <c r="J15" s="2">
        <v>1853</v>
      </c>
      <c r="K15" s="2" t="s">
        <v>30</v>
      </c>
      <c r="L15" s="7"/>
      <c r="M15" s="8">
        <v>122</v>
      </c>
      <c r="N15" s="8">
        <v>123</v>
      </c>
      <c r="O15" s="2">
        <v>7</v>
      </c>
      <c r="P15" s="2">
        <v>23</v>
      </c>
      <c r="Q15" s="2">
        <v>1831</v>
      </c>
      <c r="R15" s="2">
        <v>1</v>
      </c>
      <c r="S15" s="2">
        <v>31</v>
      </c>
      <c r="T15" s="2">
        <v>1835</v>
      </c>
    </row>
    <row r="16" spans="1:22" x14ac:dyDescent="0.35">
      <c r="A16" s="1">
        <f t="shared" si="0"/>
        <v>14</v>
      </c>
      <c r="B16" s="2" t="s">
        <v>31</v>
      </c>
      <c r="C16" s="2" t="s">
        <v>32</v>
      </c>
      <c r="E16" s="2" t="s">
        <v>2</v>
      </c>
      <c r="F16" s="2" t="s">
        <v>6</v>
      </c>
      <c r="G16" s="6">
        <v>5</v>
      </c>
      <c r="H16" s="2">
        <v>7</v>
      </c>
      <c r="I16" s="2">
        <v>1</v>
      </c>
      <c r="J16" s="2">
        <v>1854</v>
      </c>
      <c r="K16" s="2">
        <v>1854</v>
      </c>
      <c r="L16" s="7"/>
      <c r="M16" s="8">
        <v>125</v>
      </c>
      <c r="N16" s="8">
        <v>126</v>
      </c>
      <c r="O16" s="2">
        <v>2</v>
      </c>
      <c r="P16" s="2">
        <v>7</v>
      </c>
      <c r="Q16" s="2">
        <v>1835</v>
      </c>
      <c r="R16" s="2">
        <v>12</v>
      </c>
      <c r="S16" s="2">
        <v>17</v>
      </c>
      <c r="T16" s="2">
        <v>1842</v>
      </c>
    </row>
    <row r="17" spans="1:22" x14ac:dyDescent="0.35">
      <c r="A17" s="1">
        <f t="shared" si="0"/>
        <v>15</v>
      </c>
      <c r="B17" s="2" t="s">
        <v>33</v>
      </c>
      <c r="C17" s="2" t="s">
        <v>34</v>
      </c>
      <c r="D17" s="2" t="s">
        <v>87</v>
      </c>
      <c r="E17" s="2" t="s">
        <v>2</v>
      </c>
      <c r="F17" s="2" t="s">
        <v>6</v>
      </c>
      <c r="G17" s="6">
        <v>5</v>
      </c>
      <c r="H17" s="2">
        <v>7</v>
      </c>
      <c r="I17" s="2">
        <v>1</v>
      </c>
      <c r="J17" s="2">
        <v>1856</v>
      </c>
      <c r="K17" s="2">
        <v>1856</v>
      </c>
      <c r="L17" s="7">
        <v>1979159.95</v>
      </c>
      <c r="M17" s="8">
        <v>126</v>
      </c>
      <c r="N17" s="8">
        <v>127</v>
      </c>
      <c r="O17" s="2">
        <v>7</v>
      </c>
      <c r="P17" s="2">
        <v>23</v>
      </c>
      <c r="Q17" s="2">
        <v>1831</v>
      </c>
      <c r="R17" s="2">
        <v>12</v>
      </c>
      <c r="S17" s="2">
        <v>17</v>
      </c>
      <c r="T17" s="2">
        <v>1842</v>
      </c>
    </row>
    <row r="18" spans="1:22" x14ac:dyDescent="0.35">
      <c r="A18" s="1">
        <f t="shared" si="0"/>
        <v>16</v>
      </c>
      <c r="B18" s="2" t="s">
        <v>35</v>
      </c>
      <c r="C18" s="2" t="s">
        <v>36</v>
      </c>
      <c r="D18" s="2" t="s">
        <v>86</v>
      </c>
      <c r="E18" s="2" t="s">
        <v>2</v>
      </c>
      <c r="F18" s="2" t="s">
        <v>6</v>
      </c>
      <c r="G18" s="6">
        <v>5</v>
      </c>
      <c r="H18" s="2">
        <v>3</v>
      </c>
      <c r="I18" s="2">
        <v>4</v>
      </c>
      <c r="J18" s="2">
        <v>1858</v>
      </c>
      <c r="K18" s="2">
        <v>1858</v>
      </c>
      <c r="L18" s="7">
        <v>3348877.01</v>
      </c>
      <c r="M18" s="8">
        <v>128</v>
      </c>
      <c r="N18" s="8">
        <v>129</v>
      </c>
      <c r="O18" s="2">
        <v>7</v>
      </c>
      <c r="P18" s="2">
        <v>23</v>
      </c>
      <c r="Q18" s="2">
        <v>1831</v>
      </c>
      <c r="R18" s="2">
        <v>12</v>
      </c>
      <c r="S18" s="2">
        <v>17</v>
      </c>
      <c r="T18" s="2">
        <v>1842</v>
      </c>
    </row>
    <row r="19" spans="1:22" x14ac:dyDescent="0.35">
      <c r="A19" s="1">
        <f t="shared" si="0"/>
        <v>17</v>
      </c>
      <c r="B19" s="2" t="s">
        <v>37</v>
      </c>
      <c r="C19" s="2" t="s">
        <v>38</v>
      </c>
      <c r="D19" s="2" t="s">
        <v>93</v>
      </c>
      <c r="E19" s="2" t="s">
        <v>2</v>
      </c>
      <c r="F19" s="2" t="s">
        <v>6</v>
      </c>
      <c r="G19" s="6">
        <v>5</v>
      </c>
      <c r="H19" s="2">
        <v>7</v>
      </c>
      <c r="I19" s="2">
        <v>1</v>
      </c>
      <c r="J19" s="2">
        <v>1859</v>
      </c>
      <c r="K19" s="2">
        <v>1859</v>
      </c>
      <c r="L19" s="7">
        <v>967892.55</v>
      </c>
      <c r="M19" s="8">
        <v>132</v>
      </c>
      <c r="N19" s="8">
        <v>133</v>
      </c>
      <c r="O19" s="2">
        <v>12</v>
      </c>
      <c r="P19" s="2">
        <v>31</v>
      </c>
      <c r="Q19" s="2">
        <v>1842</v>
      </c>
      <c r="R19" s="2">
        <v>12</v>
      </c>
      <c r="S19" s="2">
        <v>7</v>
      </c>
      <c r="T19" s="2">
        <v>1844</v>
      </c>
    </row>
    <row r="20" spans="1:22" x14ac:dyDescent="0.35">
      <c r="A20" s="1">
        <f t="shared" si="0"/>
        <v>18</v>
      </c>
      <c r="B20" s="2" t="s">
        <v>39</v>
      </c>
      <c r="C20" s="2" t="s">
        <v>40</v>
      </c>
      <c r="D20" s="2" t="s">
        <v>89</v>
      </c>
      <c r="E20" s="2" t="s">
        <v>2</v>
      </c>
      <c r="F20" s="2" t="s">
        <v>6</v>
      </c>
      <c r="G20" s="6">
        <v>5</v>
      </c>
      <c r="H20" s="2">
        <v>7</v>
      </c>
      <c r="I20" s="2">
        <v>1</v>
      </c>
      <c r="J20" s="2">
        <v>1860</v>
      </c>
      <c r="K20" s="2">
        <v>1860</v>
      </c>
      <c r="L20" s="7">
        <f>1806160.99+249978.76</f>
        <v>2056139.75</v>
      </c>
      <c r="M20" s="8">
        <v>134</v>
      </c>
      <c r="N20" s="8">
        <v>135</v>
      </c>
      <c r="O20" s="2">
        <v>8</v>
      </c>
      <c r="P20" s="2">
        <v>4</v>
      </c>
      <c r="Q20" s="2">
        <v>1832</v>
      </c>
      <c r="R20" s="2">
        <v>12</v>
      </c>
      <c r="S20" s="2">
        <v>17</v>
      </c>
      <c r="T20" s="2">
        <v>1842</v>
      </c>
    </row>
    <row r="21" spans="1:22" x14ac:dyDescent="0.35">
      <c r="A21" s="1">
        <f t="shared" si="0"/>
        <v>19</v>
      </c>
      <c r="B21" s="2" t="s">
        <v>41</v>
      </c>
      <c r="C21" s="2" t="s">
        <v>42</v>
      </c>
      <c r="D21" s="2" t="s">
        <v>88</v>
      </c>
      <c r="E21" s="2" t="s">
        <v>2</v>
      </c>
      <c r="F21" s="2" t="s">
        <v>6</v>
      </c>
      <c r="G21" s="6">
        <v>5</v>
      </c>
      <c r="H21" s="2">
        <v>3</v>
      </c>
      <c r="I21" s="2">
        <v>28</v>
      </c>
      <c r="J21" s="2">
        <v>1861</v>
      </c>
      <c r="K21" s="2">
        <v>1861</v>
      </c>
      <c r="L21" s="7">
        <v>300</v>
      </c>
      <c r="M21" s="8">
        <v>136</v>
      </c>
      <c r="N21" s="8">
        <v>137</v>
      </c>
      <c r="O21" s="2">
        <v>2</v>
      </c>
      <c r="P21" s="2">
        <v>7</v>
      </c>
      <c r="Q21" s="2">
        <v>1835</v>
      </c>
      <c r="R21" s="2">
        <v>12</v>
      </c>
      <c r="S21" s="2">
        <v>17</v>
      </c>
      <c r="T21" s="2">
        <v>1842</v>
      </c>
    </row>
    <row r="22" spans="1:22" x14ac:dyDescent="0.35">
      <c r="A22" s="1">
        <f t="shared" si="0"/>
        <v>20</v>
      </c>
      <c r="B22" s="2" t="s">
        <v>43</v>
      </c>
      <c r="C22" s="2" t="s">
        <v>44</v>
      </c>
      <c r="D22" s="2" t="s">
        <v>91</v>
      </c>
      <c r="E22" s="2" t="s">
        <v>2</v>
      </c>
      <c r="F22" s="2" t="s">
        <v>6</v>
      </c>
      <c r="G22" s="6">
        <v>5</v>
      </c>
      <c r="H22" s="2">
        <v>7</v>
      </c>
      <c r="I22" s="2">
        <v>1</v>
      </c>
      <c r="J22" s="2">
        <v>1862</v>
      </c>
      <c r="K22" s="2">
        <v>1862</v>
      </c>
      <c r="L22" s="7">
        <v>1661707.53</v>
      </c>
      <c r="M22" s="8">
        <v>138</v>
      </c>
      <c r="N22" s="8">
        <v>139</v>
      </c>
      <c r="O22" s="2">
        <v>2</v>
      </c>
      <c r="P22" s="2">
        <v>7</v>
      </c>
      <c r="Q22" s="2">
        <v>1835</v>
      </c>
      <c r="R22" s="2">
        <v>12</v>
      </c>
      <c r="S22" s="2">
        <v>17</v>
      </c>
      <c r="T22" s="2">
        <v>1842</v>
      </c>
    </row>
    <row r="23" spans="1:22" x14ac:dyDescent="0.35">
      <c r="A23" s="1">
        <f t="shared" si="0"/>
        <v>21</v>
      </c>
      <c r="B23" s="2" t="s">
        <v>45</v>
      </c>
      <c r="C23" s="2" t="s">
        <v>46</v>
      </c>
      <c r="D23" s="2" t="s">
        <v>94</v>
      </c>
      <c r="E23" s="2" t="s">
        <v>2</v>
      </c>
      <c r="F23" s="2" t="s">
        <v>6</v>
      </c>
      <c r="G23" s="6">
        <v>5</v>
      </c>
      <c r="H23" s="2">
        <v>7</v>
      </c>
      <c r="I23" s="2">
        <v>1</v>
      </c>
      <c r="J23" s="2">
        <v>1864</v>
      </c>
      <c r="K23" s="2">
        <v>1864</v>
      </c>
      <c r="L23" s="7">
        <v>82612.22</v>
      </c>
      <c r="M23" s="8"/>
      <c r="N23" s="8"/>
    </row>
    <row r="24" spans="1:22" x14ac:dyDescent="0.35">
      <c r="A24" s="1">
        <f t="shared" si="0"/>
        <v>22</v>
      </c>
      <c r="B24" s="2" t="s">
        <v>47</v>
      </c>
      <c r="C24" s="2" t="s">
        <v>48</v>
      </c>
      <c r="D24" s="2" t="s">
        <v>92</v>
      </c>
      <c r="E24" s="2" t="s">
        <v>2</v>
      </c>
      <c r="F24" s="2" t="s">
        <v>6</v>
      </c>
      <c r="G24" s="6">
        <v>5</v>
      </c>
      <c r="H24" s="2">
        <v>7</v>
      </c>
      <c r="I24" s="2">
        <v>1</v>
      </c>
      <c r="J24" s="2">
        <v>1865</v>
      </c>
      <c r="K24" s="2">
        <v>1865</v>
      </c>
      <c r="L24" s="7">
        <v>797964.08</v>
      </c>
      <c r="M24" s="8">
        <v>140</v>
      </c>
      <c r="N24" s="8">
        <v>141</v>
      </c>
      <c r="O24" s="2">
        <v>5</v>
      </c>
      <c r="P24" s="2">
        <v>23</v>
      </c>
      <c r="Q24" s="2">
        <v>1835</v>
      </c>
      <c r="R24" s="2">
        <v>12</v>
      </c>
      <c r="S24" s="2">
        <v>17</v>
      </c>
      <c r="T24" s="2">
        <v>1842</v>
      </c>
    </row>
    <row r="25" spans="1:22" x14ac:dyDescent="0.35">
      <c r="A25" s="1">
        <f t="shared" si="0"/>
        <v>23</v>
      </c>
      <c r="B25" s="2" t="s">
        <v>49</v>
      </c>
      <c r="C25" s="2" t="s">
        <v>50</v>
      </c>
      <c r="D25" s="2" t="s">
        <v>90</v>
      </c>
      <c r="E25" s="2" t="s">
        <v>2</v>
      </c>
      <c r="F25" s="2" t="s">
        <v>6</v>
      </c>
      <c r="G25" s="6">
        <v>5</v>
      </c>
      <c r="H25" s="2">
        <v>7</v>
      </c>
      <c r="I25" s="2">
        <v>1</v>
      </c>
      <c r="J25" s="2">
        <v>1858</v>
      </c>
      <c r="K25" s="2" t="s">
        <v>51</v>
      </c>
      <c r="L25" s="7">
        <f>2100044.96+379975.12</f>
        <v>2480020.08</v>
      </c>
      <c r="M25" s="8">
        <v>130</v>
      </c>
      <c r="N25" s="8">
        <v>131</v>
      </c>
      <c r="O25" s="2">
        <v>1</v>
      </c>
      <c r="P25" s="2">
        <v>7</v>
      </c>
      <c r="Q25" s="2">
        <v>1833</v>
      </c>
      <c r="R25" s="2">
        <v>12</v>
      </c>
      <c r="S25" s="2">
        <v>21</v>
      </c>
      <c r="T25" s="2">
        <v>1833</v>
      </c>
    </row>
    <row r="26" spans="1:22" x14ac:dyDescent="0.35">
      <c r="A26" s="1">
        <f t="shared" si="0"/>
        <v>24</v>
      </c>
      <c r="B26" s="2" t="s">
        <v>52</v>
      </c>
      <c r="C26" s="2" t="s">
        <v>53</v>
      </c>
      <c r="E26" s="2" t="s">
        <v>2</v>
      </c>
      <c r="F26" s="2" t="s">
        <v>54</v>
      </c>
      <c r="G26" s="6">
        <v>6</v>
      </c>
      <c r="L26" s="7"/>
      <c r="M26" s="8"/>
      <c r="N26" s="8"/>
    </row>
    <row r="27" spans="1:22" x14ac:dyDescent="0.35">
      <c r="A27" s="1">
        <f t="shared" si="0"/>
        <v>25</v>
      </c>
      <c r="B27" s="2" t="s">
        <v>55</v>
      </c>
      <c r="C27" s="2" t="s">
        <v>56</v>
      </c>
      <c r="E27" s="2" t="s">
        <v>2</v>
      </c>
      <c r="F27" s="2" t="s">
        <v>54</v>
      </c>
      <c r="G27" s="6">
        <v>6</v>
      </c>
      <c r="H27" s="2">
        <v>7</v>
      </c>
      <c r="I27" s="2">
        <v>1</v>
      </c>
      <c r="J27" s="2">
        <v>1843</v>
      </c>
      <c r="K27" s="2">
        <v>1843</v>
      </c>
      <c r="L27" s="7"/>
      <c r="M27" s="8">
        <v>90</v>
      </c>
      <c r="N27" s="8">
        <v>91</v>
      </c>
      <c r="O27" s="2">
        <v>8</v>
      </c>
      <c r="P27" s="2">
        <v>13</v>
      </c>
      <c r="Q27" s="2">
        <v>1842</v>
      </c>
      <c r="R27" s="2">
        <v>1</v>
      </c>
      <c r="S27" s="2">
        <v>23</v>
      </c>
      <c r="T27" s="2">
        <v>1847</v>
      </c>
      <c r="V27" s="2" t="s">
        <v>100</v>
      </c>
    </row>
    <row r="28" spans="1:22" x14ac:dyDescent="0.35">
      <c r="A28" s="1">
        <f t="shared" si="0"/>
        <v>26</v>
      </c>
      <c r="B28" s="2" t="s">
        <v>57</v>
      </c>
      <c r="C28" s="2" t="s">
        <v>58</v>
      </c>
      <c r="E28" s="2" t="s">
        <v>2</v>
      </c>
      <c r="F28" s="2" t="s">
        <v>54</v>
      </c>
      <c r="G28" s="6">
        <v>6</v>
      </c>
      <c r="H28" s="2">
        <v>12</v>
      </c>
      <c r="I28" s="2">
        <v>31</v>
      </c>
      <c r="J28" s="2">
        <v>1846</v>
      </c>
      <c r="K28" s="2">
        <v>1846</v>
      </c>
      <c r="L28" s="7"/>
      <c r="M28" s="8">
        <v>94</v>
      </c>
      <c r="N28" s="8">
        <v>95</v>
      </c>
      <c r="O28" s="2">
        <v>11</v>
      </c>
      <c r="P28" s="2">
        <v>26</v>
      </c>
      <c r="Q28" s="2">
        <v>1842</v>
      </c>
      <c r="R28" s="2">
        <v>1</v>
      </c>
      <c r="S28" s="2">
        <v>23</v>
      </c>
      <c r="T28" s="2">
        <v>1847</v>
      </c>
      <c r="V28" s="2" t="s">
        <v>100</v>
      </c>
    </row>
    <row r="29" spans="1:22" x14ac:dyDescent="0.35">
      <c r="A29" s="1">
        <f t="shared" si="0"/>
        <v>27</v>
      </c>
      <c r="B29" s="2" t="s">
        <v>59</v>
      </c>
      <c r="C29" s="2" t="s">
        <v>60</v>
      </c>
      <c r="E29" s="2" t="s">
        <v>2</v>
      </c>
      <c r="F29" s="2" t="s">
        <v>54</v>
      </c>
      <c r="G29" s="6">
        <v>6</v>
      </c>
      <c r="J29" s="2" t="s">
        <v>61</v>
      </c>
      <c r="K29" s="2" t="s">
        <v>61</v>
      </c>
      <c r="L29" s="7"/>
      <c r="M29" s="8">
        <v>96</v>
      </c>
      <c r="N29" s="8">
        <v>97</v>
      </c>
      <c r="O29" s="2">
        <v>2</v>
      </c>
      <c r="P29" s="2">
        <v>23</v>
      </c>
      <c r="Q29" s="2">
        <v>1850</v>
      </c>
      <c r="R29" s="2">
        <v>12</v>
      </c>
      <c r="S29" s="2">
        <v>28</v>
      </c>
      <c r="T29" s="2">
        <v>1850</v>
      </c>
      <c r="V29" s="2" t="s">
        <v>100</v>
      </c>
    </row>
    <row r="30" spans="1:22" x14ac:dyDescent="0.35">
      <c r="A30" s="1">
        <f t="shared" si="0"/>
        <v>28</v>
      </c>
      <c r="B30" s="2" t="s">
        <v>62</v>
      </c>
      <c r="C30" s="2" t="s">
        <v>63</v>
      </c>
      <c r="E30" s="2" t="s">
        <v>2</v>
      </c>
      <c r="F30" s="2" t="s">
        <v>54</v>
      </c>
      <c r="G30" s="6">
        <v>6</v>
      </c>
      <c r="H30" s="2">
        <v>7</v>
      </c>
      <c r="I30" s="2">
        <v>1</v>
      </c>
      <c r="J30" s="2">
        <v>1879</v>
      </c>
      <c r="K30" s="2" t="s">
        <v>64</v>
      </c>
      <c r="L30" s="7"/>
      <c r="M30" s="8">
        <v>98</v>
      </c>
      <c r="N30" s="8">
        <v>99</v>
      </c>
      <c r="O30" s="2">
        <v>2</v>
      </c>
      <c r="P30" s="2">
        <v>23</v>
      </c>
      <c r="Q30" s="2">
        <v>1850</v>
      </c>
      <c r="R30" s="2">
        <v>12</v>
      </c>
      <c r="S30" s="2">
        <v>28</v>
      </c>
      <c r="T30" s="2">
        <v>1850</v>
      </c>
    </row>
    <row r="31" spans="1:22" x14ac:dyDescent="0.35">
      <c r="A31" s="1">
        <f t="shared" si="0"/>
        <v>29</v>
      </c>
      <c r="B31" s="2" t="s">
        <v>65</v>
      </c>
      <c r="C31" s="2" t="s">
        <v>66</v>
      </c>
      <c r="E31" s="2" t="s">
        <v>2</v>
      </c>
      <c r="F31" s="2" t="s">
        <v>54</v>
      </c>
      <c r="G31" s="6">
        <v>6</v>
      </c>
      <c r="H31" s="2">
        <v>12</v>
      </c>
      <c r="I31" s="2">
        <v>31</v>
      </c>
      <c r="J31" s="2">
        <v>1847</v>
      </c>
      <c r="K31" s="2">
        <v>1847</v>
      </c>
      <c r="L31" s="7"/>
      <c r="M31" s="8">
        <v>102</v>
      </c>
      <c r="N31" s="8">
        <v>103</v>
      </c>
      <c r="O31" s="2">
        <v>11</v>
      </c>
      <c r="P31" s="2">
        <v>26</v>
      </c>
      <c r="Q31" s="2">
        <v>1842</v>
      </c>
      <c r="R31" s="2">
        <v>1</v>
      </c>
      <c r="S31" s="2">
        <v>23</v>
      </c>
      <c r="T31" s="2">
        <v>1847</v>
      </c>
    </row>
    <row r="32" spans="1:22" x14ac:dyDescent="0.35">
      <c r="A32" s="1">
        <f t="shared" si="0"/>
        <v>30</v>
      </c>
      <c r="B32" s="2" t="s">
        <v>67</v>
      </c>
      <c r="C32" s="2" t="s">
        <v>68</v>
      </c>
      <c r="D32" s="2" t="s">
        <v>84</v>
      </c>
      <c r="E32" s="2" t="s">
        <v>2</v>
      </c>
      <c r="F32" s="2" t="s">
        <v>54</v>
      </c>
      <c r="G32" s="6">
        <v>6</v>
      </c>
      <c r="H32" s="2">
        <v>4</v>
      </c>
      <c r="I32" s="2">
        <v>10</v>
      </c>
      <c r="J32" s="2">
        <v>1879</v>
      </c>
      <c r="K32" s="2">
        <v>1879</v>
      </c>
      <c r="L32" s="7">
        <v>400000</v>
      </c>
      <c r="M32" s="8"/>
      <c r="N32" s="8"/>
      <c r="R32" s="2">
        <v>2</v>
      </c>
      <c r="S32" s="2">
        <v>16</v>
      </c>
      <c r="T32" s="2">
        <v>1850</v>
      </c>
    </row>
    <row r="33" spans="1:20" x14ac:dyDescent="0.35">
      <c r="A33" s="1">
        <f t="shared" si="0"/>
        <v>31</v>
      </c>
      <c r="B33" s="2" t="s">
        <v>69</v>
      </c>
      <c r="C33" s="2" t="s">
        <v>70</v>
      </c>
      <c r="E33" s="2" t="s">
        <v>2</v>
      </c>
      <c r="F33" s="2" t="s">
        <v>54</v>
      </c>
      <c r="G33" s="6">
        <v>6</v>
      </c>
      <c r="J33" s="2">
        <v>1846</v>
      </c>
      <c r="K33" s="2">
        <v>1846</v>
      </c>
      <c r="L33" s="7"/>
      <c r="M33" s="8">
        <v>92</v>
      </c>
      <c r="N33" s="8">
        <v>93</v>
      </c>
    </row>
    <row r="34" spans="1:20" x14ac:dyDescent="0.35">
      <c r="A34" s="1">
        <f t="shared" si="0"/>
        <v>32</v>
      </c>
      <c r="B34" s="2" t="s">
        <v>71</v>
      </c>
      <c r="C34" s="2" t="s">
        <v>72</v>
      </c>
      <c r="E34" s="2" t="s">
        <v>2</v>
      </c>
      <c r="F34" s="2" t="s">
        <v>54</v>
      </c>
      <c r="G34" s="6">
        <v>6</v>
      </c>
      <c r="L34" s="7"/>
      <c r="M34" s="8"/>
      <c r="N34" s="8"/>
    </row>
    <row r="35" spans="1:20" x14ac:dyDescent="0.35">
      <c r="A35" s="1">
        <f t="shared" si="0"/>
        <v>33</v>
      </c>
      <c r="B35" s="2" t="s">
        <v>73</v>
      </c>
      <c r="C35" s="2" t="s">
        <v>74</v>
      </c>
      <c r="E35" s="2" t="s">
        <v>2</v>
      </c>
      <c r="F35" s="2" t="s">
        <v>6</v>
      </c>
      <c r="G35" s="6">
        <v>5</v>
      </c>
      <c r="L35" s="7"/>
      <c r="M35" s="8">
        <v>106</v>
      </c>
      <c r="N35" s="8">
        <v>107</v>
      </c>
      <c r="O35" s="2">
        <v>12</v>
      </c>
      <c r="P35" s="2">
        <v>21</v>
      </c>
      <c r="Q35" s="2">
        <v>1844</v>
      </c>
      <c r="R35" s="2">
        <v>1</v>
      </c>
      <c r="S35" s="2">
        <v>23</v>
      </c>
      <c r="T35" s="2">
        <v>1847</v>
      </c>
    </row>
    <row r="36" spans="1:20" x14ac:dyDescent="0.35">
      <c r="A36" s="1">
        <f t="shared" si="0"/>
        <v>34</v>
      </c>
      <c r="B36" s="2" t="s">
        <v>75</v>
      </c>
      <c r="C36" s="2" t="s">
        <v>76</v>
      </c>
      <c r="E36" s="2" t="s">
        <v>2</v>
      </c>
      <c r="F36" s="2" t="s">
        <v>6</v>
      </c>
      <c r="G36" s="6">
        <v>5</v>
      </c>
      <c r="L36" s="7"/>
      <c r="M36" s="8">
        <v>104</v>
      </c>
      <c r="N36" s="8">
        <v>105</v>
      </c>
      <c r="O36" s="2">
        <v>12</v>
      </c>
      <c r="P36" s="2">
        <v>21</v>
      </c>
      <c r="Q36" s="2">
        <v>1844</v>
      </c>
      <c r="R36" s="2">
        <v>1</v>
      </c>
      <c r="S36" s="2">
        <v>23</v>
      </c>
      <c r="T36" s="2">
        <v>1847</v>
      </c>
    </row>
    <row r="37" spans="1:20" x14ac:dyDescent="0.35">
      <c r="A37" s="1">
        <f t="shared" si="0"/>
        <v>35</v>
      </c>
      <c r="B37" s="2" t="s">
        <v>77</v>
      </c>
      <c r="C37" s="2" t="s">
        <v>78</v>
      </c>
      <c r="E37" s="2" t="s">
        <v>2</v>
      </c>
      <c r="M37" s="8">
        <v>86</v>
      </c>
      <c r="N37" s="8">
        <v>87</v>
      </c>
    </row>
    <row r="39" spans="1:20" x14ac:dyDescent="0.35">
      <c r="A39" s="1">
        <v>1</v>
      </c>
      <c r="B39" s="1">
        <v>2</v>
      </c>
      <c r="C39" s="1">
        <v>3</v>
      </c>
      <c r="D39" s="1">
        <v>4</v>
      </c>
      <c r="E39" s="1">
        <v>5</v>
      </c>
      <c r="F39" s="1">
        <v>6</v>
      </c>
      <c r="G39" s="9">
        <v>7</v>
      </c>
      <c r="H39" s="1">
        <v>8</v>
      </c>
      <c r="I39" s="1">
        <v>9</v>
      </c>
      <c r="J39" s="1">
        <v>10</v>
      </c>
      <c r="K39" s="1">
        <v>11</v>
      </c>
      <c r="L39" s="1">
        <v>12</v>
      </c>
      <c r="M39" s="1">
        <v>13</v>
      </c>
      <c r="N39" s="1">
        <v>14</v>
      </c>
    </row>
  </sheetData>
  <mergeCells count="4">
    <mergeCell ref="H1:K1"/>
    <mergeCell ref="O1:Q1"/>
    <mergeCell ref="R1:T1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J. Hall</dc:creator>
  <cp:lastModifiedBy>George J. Hall</cp:lastModifiedBy>
  <dcterms:created xsi:type="dcterms:W3CDTF">2025-09-03T15:45:23Z</dcterms:created>
  <dcterms:modified xsi:type="dcterms:W3CDTF">2025-09-09T21:35:13Z</dcterms:modified>
</cp:coreProperties>
</file>