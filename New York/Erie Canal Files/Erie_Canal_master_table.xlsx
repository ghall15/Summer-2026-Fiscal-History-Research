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ll\Documents\Fiscal_History\State Debts\New York State\Erie Canal\"/>
    </mc:Choice>
  </mc:AlternateContent>
  <xr:revisionPtr revIDLastSave="0" documentId="13_ncr:1_{4A8D9845-8908-44E9-91A6-DED17AC49C48}" xr6:coauthVersionLast="36" xr6:coauthVersionMax="36" xr10:uidLastSave="{00000000-0000-0000-0000-000000000000}"/>
  <bookViews>
    <workbookView xWindow="0" yWindow="0" windowWidth="14690" windowHeight="5180" xr2:uid="{00000000-000D-0000-FFFF-FFFF00000000}"/>
  </bookViews>
  <sheets>
    <sheet name="erie_canal_master" sheetId="1" r:id="rId1"/>
  </sheets>
  <calcPr calcId="191029"/>
</workbook>
</file>

<file path=xl/calcChain.xml><?xml version="1.0" encoding="utf-8"?>
<calcChain xmlns="http://schemas.openxmlformats.org/spreadsheetml/2006/main">
  <c r="BB47" i="1" l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AA51" i="1" l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Z51" i="1"/>
  <c r="D51" i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C51" i="1"/>
  <c r="AO47" i="1" l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U47" i="1" l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BF47" i="1" l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5" i="1"/>
  <c r="BF4" i="1"/>
  <c r="AU6" i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5" i="1"/>
  <c r="AX5" i="1" s="1"/>
  <c r="BC47" i="1"/>
  <c r="BA47" i="1"/>
  <c r="BC46" i="1"/>
  <c r="BA46" i="1"/>
  <c r="BC45" i="1"/>
  <c r="BA45" i="1"/>
  <c r="BC44" i="1"/>
  <c r="BA44" i="1"/>
  <c r="BC43" i="1"/>
  <c r="BA43" i="1"/>
  <c r="BC42" i="1"/>
  <c r="BA42" i="1"/>
  <c r="BC41" i="1"/>
  <c r="BA41" i="1"/>
  <c r="BC40" i="1"/>
  <c r="BA40" i="1"/>
  <c r="BC39" i="1"/>
  <c r="BA39" i="1"/>
  <c r="BC38" i="1"/>
  <c r="BA38" i="1"/>
  <c r="BC37" i="1"/>
  <c r="BA37" i="1"/>
  <c r="BC36" i="1"/>
  <c r="BA36" i="1"/>
  <c r="BC35" i="1"/>
  <c r="BA35" i="1"/>
  <c r="BC34" i="1"/>
  <c r="BA34" i="1"/>
  <c r="BC33" i="1"/>
  <c r="BA33" i="1"/>
  <c r="BC32" i="1"/>
  <c r="BA32" i="1"/>
  <c r="BC31" i="1"/>
  <c r="BA31" i="1"/>
  <c r="BC30" i="1"/>
  <c r="BA30" i="1"/>
  <c r="BC29" i="1"/>
  <c r="BA29" i="1"/>
  <c r="BC28" i="1"/>
  <c r="BA28" i="1"/>
  <c r="BC27" i="1"/>
  <c r="BA27" i="1"/>
  <c r="BC26" i="1"/>
  <c r="BA26" i="1"/>
  <c r="BC25" i="1"/>
  <c r="BA25" i="1"/>
  <c r="BC24" i="1"/>
  <c r="BA24" i="1"/>
  <c r="BC23" i="1"/>
  <c r="BA23" i="1"/>
  <c r="BC22" i="1"/>
  <c r="BA22" i="1"/>
  <c r="BC21" i="1"/>
  <c r="BA21" i="1"/>
  <c r="BC20" i="1"/>
  <c r="BA20" i="1"/>
  <c r="BC19" i="1"/>
  <c r="BA19" i="1"/>
  <c r="BC18" i="1"/>
  <c r="BA18" i="1"/>
  <c r="BC17" i="1"/>
  <c r="BA17" i="1"/>
  <c r="BC16" i="1"/>
  <c r="BA16" i="1"/>
  <c r="BC15" i="1"/>
  <c r="BA15" i="1"/>
  <c r="BC14" i="1"/>
  <c r="BA14" i="1"/>
  <c r="BC13" i="1"/>
  <c r="BA13" i="1"/>
  <c r="BC12" i="1"/>
  <c r="BA12" i="1"/>
  <c r="BC11" i="1"/>
  <c r="BA11" i="1"/>
  <c r="BC10" i="1"/>
  <c r="BA10" i="1"/>
  <c r="BC9" i="1"/>
  <c r="BA9" i="1"/>
  <c r="BC8" i="1"/>
  <c r="BA8" i="1"/>
  <c r="BC7" i="1"/>
  <c r="BF7" i="1"/>
  <c r="BA7" i="1"/>
  <c r="BC6" i="1"/>
  <c r="BF6" i="1"/>
  <c r="BA6" i="1"/>
  <c r="BC5" i="1"/>
  <c r="BA5" i="1"/>
  <c r="BC4" i="1"/>
  <c r="BA4" i="1"/>
  <c r="AX4" i="1"/>
  <c r="AU4" i="1"/>
  <c r="Y44" i="1"/>
  <c r="Y49" i="1" s="1"/>
  <c r="AQ46" i="1"/>
  <c r="AL50" i="1"/>
  <c r="AN49" i="1"/>
  <c r="AM49" i="1"/>
  <c r="AM50" i="1" s="1"/>
  <c r="AL49" i="1"/>
  <c r="AK49" i="1"/>
  <c r="AJ49" i="1"/>
  <c r="AI49" i="1"/>
  <c r="AE49" i="1"/>
  <c r="AP46" i="1"/>
  <c r="AP45" i="1"/>
  <c r="AQ45" i="1" s="1"/>
  <c r="AP44" i="1"/>
  <c r="AQ44" i="1" s="1"/>
  <c r="AP43" i="1"/>
  <c r="AQ43" i="1" s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H49" i="1"/>
  <c r="AG49" i="1"/>
  <c r="AF49" i="1"/>
  <c r="AD49" i="1"/>
  <c r="AC49" i="1"/>
  <c r="AB49" i="1"/>
  <c r="AA49" i="1"/>
  <c r="Z49" i="1"/>
  <c r="AP47" i="1" l="1"/>
  <c r="AX6" i="1" l="1"/>
  <c r="AP49" i="1"/>
  <c r="AQ47" i="1"/>
  <c r="AX7" i="1" l="1"/>
  <c r="AX8" i="1" l="1"/>
  <c r="AX9" i="1" l="1"/>
  <c r="AX10" i="1" l="1"/>
  <c r="AX11" i="1" l="1"/>
  <c r="AX12" i="1" l="1"/>
  <c r="AX13" i="1" l="1"/>
  <c r="AX14" i="1" l="1"/>
  <c r="AX15" i="1" l="1"/>
  <c r="AX16" i="1" l="1"/>
  <c r="AX17" i="1" l="1"/>
  <c r="AX18" i="1" l="1"/>
  <c r="AX19" i="1" l="1"/>
  <c r="AX20" i="1" l="1"/>
  <c r="AX21" i="1" l="1"/>
  <c r="AX22" i="1" l="1"/>
  <c r="AX23" i="1" l="1"/>
  <c r="AX24" i="1" l="1"/>
  <c r="AX25" i="1" l="1"/>
  <c r="AX26" i="1" l="1"/>
  <c r="T49" i="1"/>
  <c r="S49" i="1"/>
  <c r="S50" i="1" s="1"/>
  <c r="R49" i="1"/>
  <c r="Q49" i="1"/>
  <c r="P49" i="1"/>
  <c r="O49" i="1"/>
  <c r="V39" i="1"/>
  <c r="V38" i="1"/>
  <c r="AR38" i="1" s="1"/>
  <c r="N49" i="1"/>
  <c r="M49" i="1"/>
  <c r="L49" i="1"/>
  <c r="L50" i="1" s="1"/>
  <c r="K49" i="1"/>
  <c r="J49" i="1"/>
  <c r="I49" i="1"/>
  <c r="I50" i="1" s="1"/>
  <c r="G49" i="1"/>
  <c r="F49" i="1"/>
  <c r="D49" i="1"/>
  <c r="C49" i="1"/>
  <c r="B49" i="1"/>
  <c r="AX27" i="1" l="1"/>
  <c r="W39" i="1"/>
  <c r="AR39" i="1"/>
  <c r="E47" i="1"/>
  <c r="V47" i="1" s="1"/>
  <c r="AR47" i="1" s="1"/>
  <c r="E46" i="1"/>
  <c r="V46" i="1" s="1"/>
  <c r="AR46" i="1" s="1"/>
  <c r="E45" i="1"/>
  <c r="V45" i="1" s="1"/>
  <c r="E44" i="1"/>
  <c r="V44" i="1" s="1"/>
  <c r="AR44" i="1" s="1"/>
  <c r="E43" i="1"/>
  <c r="V43" i="1" s="1"/>
  <c r="E42" i="1"/>
  <c r="V42" i="1" s="1"/>
  <c r="AR42" i="1" s="1"/>
  <c r="E41" i="1"/>
  <c r="V41" i="1" s="1"/>
  <c r="AR41" i="1" s="1"/>
  <c r="E40" i="1"/>
  <c r="V40" i="1" s="1"/>
  <c r="AR40" i="1" s="1"/>
  <c r="E37" i="1"/>
  <c r="V37" i="1" s="1"/>
  <c r="AR37" i="1" s="1"/>
  <c r="E36" i="1"/>
  <c r="V36" i="1" s="1"/>
  <c r="AR36" i="1" s="1"/>
  <c r="E35" i="1"/>
  <c r="V35" i="1" s="1"/>
  <c r="E34" i="1"/>
  <c r="V34" i="1" s="1"/>
  <c r="AR34" i="1" s="1"/>
  <c r="E33" i="1"/>
  <c r="V33" i="1" s="1"/>
  <c r="AR33" i="1" s="1"/>
  <c r="E32" i="1"/>
  <c r="V32" i="1" s="1"/>
  <c r="AR32" i="1" s="1"/>
  <c r="E31" i="1"/>
  <c r="V31" i="1" s="1"/>
  <c r="AR31" i="1" s="1"/>
  <c r="E30" i="1"/>
  <c r="V30" i="1" s="1"/>
  <c r="AR30" i="1" s="1"/>
  <c r="E29" i="1"/>
  <c r="V29" i="1" s="1"/>
  <c r="AR29" i="1" s="1"/>
  <c r="E28" i="1"/>
  <c r="V28" i="1" s="1"/>
  <c r="AR28" i="1" s="1"/>
  <c r="E27" i="1"/>
  <c r="V27" i="1" s="1"/>
  <c r="AR27" i="1" s="1"/>
  <c r="E26" i="1"/>
  <c r="V26" i="1" s="1"/>
  <c r="AR26" i="1" s="1"/>
  <c r="E25" i="1"/>
  <c r="V25" i="1" s="1"/>
  <c r="AR25" i="1" s="1"/>
  <c r="E24" i="1"/>
  <c r="V24" i="1" s="1"/>
  <c r="AR24" i="1" s="1"/>
  <c r="E23" i="1"/>
  <c r="V23" i="1" s="1"/>
  <c r="AR23" i="1" s="1"/>
  <c r="E22" i="1"/>
  <c r="V22" i="1" s="1"/>
  <c r="AR22" i="1" s="1"/>
  <c r="E21" i="1"/>
  <c r="V21" i="1" s="1"/>
  <c r="AR21" i="1" s="1"/>
  <c r="E20" i="1"/>
  <c r="V20" i="1" s="1"/>
  <c r="E19" i="1"/>
  <c r="V19" i="1" s="1"/>
  <c r="AR19" i="1" s="1"/>
  <c r="E18" i="1"/>
  <c r="V18" i="1" s="1"/>
  <c r="AR18" i="1" s="1"/>
  <c r="E17" i="1"/>
  <c r="V17" i="1" s="1"/>
  <c r="AR17" i="1" s="1"/>
  <c r="E16" i="1"/>
  <c r="V16" i="1" s="1"/>
  <c r="AR16" i="1" s="1"/>
  <c r="E15" i="1"/>
  <c r="V15" i="1" s="1"/>
  <c r="AR15" i="1" s="1"/>
  <c r="E14" i="1"/>
  <c r="V14" i="1" s="1"/>
  <c r="AR14" i="1" s="1"/>
  <c r="E13" i="1"/>
  <c r="V13" i="1" s="1"/>
  <c r="AR13" i="1" s="1"/>
  <c r="E12" i="1"/>
  <c r="V12" i="1" s="1"/>
  <c r="AR12" i="1" s="1"/>
  <c r="E11" i="1"/>
  <c r="V11" i="1" s="1"/>
  <c r="AR11" i="1" s="1"/>
  <c r="E10" i="1"/>
  <c r="V10" i="1" s="1"/>
  <c r="AR10" i="1" s="1"/>
  <c r="E9" i="1"/>
  <c r="V9" i="1" s="1"/>
  <c r="AR9" i="1" s="1"/>
  <c r="E8" i="1"/>
  <c r="V8" i="1" s="1"/>
  <c r="AR8" i="1" s="1"/>
  <c r="E7" i="1"/>
  <c r="V7" i="1" s="1"/>
  <c r="AR7" i="1" s="1"/>
  <c r="E6" i="1"/>
  <c r="V6" i="1" s="1"/>
  <c r="AR6" i="1" s="1"/>
  <c r="E5" i="1"/>
  <c r="E4" i="1"/>
  <c r="V4" i="1" s="1"/>
  <c r="AR4" i="1" s="1"/>
  <c r="AS4" i="1" s="1"/>
  <c r="AY4" i="1" l="1"/>
  <c r="AX28" i="1"/>
  <c r="W43" i="1"/>
  <c r="AR43" i="1"/>
  <c r="W45" i="1"/>
  <c r="AR45" i="1"/>
  <c r="W20" i="1"/>
  <c r="AR20" i="1"/>
  <c r="W35" i="1"/>
  <c r="AR35" i="1"/>
  <c r="E49" i="1"/>
  <c r="V5" i="1"/>
  <c r="AR5" i="1" s="1"/>
  <c r="AS5" i="1" s="1"/>
  <c r="AV7" i="1"/>
  <c r="AS6" i="1" l="1"/>
  <c r="AY5" i="1"/>
  <c r="BE5" i="1" s="1"/>
  <c r="AZ4" i="1"/>
  <c r="BE4" i="1"/>
  <c r="AX29" i="1"/>
  <c r="V49" i="1"/>
  <c r="V50" i="1" s="1"/>
  <c r="W5" i="1"/>
  <c r="W50" i="1" s="1"/>
  <c r="AZ5" i="1" l="1"/>
  <c r="AS7" i="1"/>
  <c r="AY6" i="1"/>
  <c r="BE6" i="1" s="1"/>
  <c r="AX30" i="1"/>
  <c r="AV15" i="1"/>
  <c r="AV16" i="1"/>
  <c r="AS8" i="1" l="1"/>
  <c r="AY7" i="1"/>
  <c r="BE7" i="1" s="1"/>
  <c r="AZ6" i="1"/>
  <c r="AZ7" i="1" s="1"/>
  <c r="AX31" i="1"/>
  <c r="AS9" i="1" l="1"/>
  <c r="AY8" i="1"/>
  <c r="BE8" i="1" s="1"/>
  <c r="AX32" i="1"/>
  <c r="AS10" i="1" l="1"/>
  <c r="AY9" i="1"/>
  <c r="BE9" i="1" s="1"/>
  <c r="AZ8" i="1"/>
  <c r="AZ9" i="1" s="1"/>
  <c r="AX33" i="1"/>
  <c r="AS11" i="1" l="1"/>
  <c r="AY10" i="1"/>
  <c r="BE10" i="1" s="1"/>
  <c r="AX34" i="1"/>
  <c r="AS12" i="1" l="1"/>
  <c r="AY11" i="1"/>
  <c r="BE11" i="1" s="1"/>
  <c r="AZ10" i="1"/>
  <c r="AZ11" i="1" s="1"/>
  <c r="AX35" i="1"/>
  <c r="AS13" i="1" l="1"/>
  <c r="AY12" i="1"/>
  <c r="BE12" i="1" s="1"/>
  <c r="AX36" i="1"/>
  <c r="AS14" i="1" l="1"/>
  <c r="AY13" i="1"/>
  <c r="BE13" i="1" s="1"/>
  <c r="AZ12" i="1"/>
  <c r="AZ13" i="1" s="1"/>
  <c r="AX37" i="1"/>
  <c r="AS15" i="1" l="1"/>
  <c r="AY14" i="1"/>
  <c r="BE14" i="1" s="1"/>
  <c r="AX38" i="1"/>
  <c r="AS16" i="1" l="1"/>
  <c r="AY15" i="1"/>
  <c r="BE15" i="1" s="1"/>
  <c r="AZ14" i="1"/>
  <c r="AZ15" i="1" s="1"/>
  <c r="AX39" i="1"/>
  <c r="AS17" i="1" l="1"/>
  <c r="AY16" i="1"/>
  <c r="BE16" i="1" s="1"/>
  <c r="AX40" i="1"/>
  <c r="AS18" i="1" l="1"/>
  <c r="AY17" i="1"/>
  <c r="BE17" i="1" s="1"/>
  <c r="AZ16" i="1"/>
  <c r="AZ17" i="1" s="1"/>
  <c r="AX41" i="1"/>
  <c r="AS19" i="1" l="1"/>
  <c r="AY18" i="1"/>
  <c r="BE18" i="1" s="1"/>
  <c r="AX42" i="1"/>
  <c r="AY19" i="1" l="1"/>
  <c r="BE19" i="1" s="1"/>
  <c r="AS20" i="1"/>
  <c r="AZ18" i="1"/>
  <c r="AZ19" i="1" s="1"/>
  <c r="AX43" i="1"/>
  <c r="AS21" i="1" l="1"/>
  <c r="AY20" i="1"/>
  <c r="BE20" i="1" s="1"/>
  <c r="AX44" i="1"/>
  <c r="AS22" i="1" l="1"/>
  <c r="AY21" i="1"/>
  <c r="BE21" i="1" s="1"/>
  <c r="AZ20" i="1"/>
  <c r="AZ21" i="1" s="1"/>
  <c r="AX45" i="1"/>
  <c r="AS23" i="1" l="1"/>
  <c r="AY22" i="1"/>
  <c r="BE22" i="1" s="1"/>
  <c r="AX47" i="1"/>
  <c r="AX46" i="1"/>
  <c r="AS24" i="1" l="1"/>
  <c r="AY23" i="1"/>
  <c r="BE23" i="1" s="1"/>
  <c r="AZ22" i="1"/>
  <c r="AZ23" i="1" s="1"/>
  <c r="AS25" i="1" l="1"/>
  <c r="AY24" i="1"/>
  <c r="BE24" i="1" s="1"/>
  <c r="AS26" i="1" l="1"/>
  <c r="AY25" i="1"/>
  <c r="BE25" i="1" s="1"/>
  <c r="AZ24" i="1"/>
  <c r="AZ25" i="1" s="1"/>
  <c r="AS27" i="1" l="1"/>
  <c r="AY26" i="1"/>
  <c r="BE26" i="1" s="1"/>
  <c r="AS28" i="1" l="1"/>
  <c r="AY27" i="1"/>
  <c r="BE27" i="1" s="1"/>
  <c r="AZ26" i="1"/>
  <c r="AZ27" i="1" s="1"/>
  <c r="AS29" i="1" l="1"/>
  <c r="AY28" i="1"/>
  <c r="BE28" i="1" s="1"/>
  <c r="AS30" i="1" l="1"/>
  <c r="AY29" i="1"/>
  <c r="BE29" i="1" s="1"/>
  <c r="AZ28" i="1"/>
  <c r="AZ29" i="1" l="1"/>
  <c r="AS31" i="1"/>
  <c r="AY30" i="1"/>
  <c r="BE30" i="1" s="1"/>
  <c r="AS32" i="1" l="1"/>
  <c r="AY31" i="1"/>
  <c r="BE31" i="1" s="1"/>
  <c r="AZ30" i="1"/>
  <c r="AZ31" i="1" s="1"/>
  <c r="AS33" i="1" l="1"/>
  <c r="AY32" i="1"/>
  <c r="BE32" i="1" s="1"/>
  <c r="AY33" i="1" l="1"/>
  <c r="BE33" i="1" s="1"/>
  <c r="AS34" i="1"/>
  <c r="AZ32" i="1"/>
  <c r="AZ33" i="1" s="1"/>
  <c r="AY34" i="1" l="1"/>
  <c r="BE34" i="1" s="1"/>
  <c r="AS35" i="1"/>
  <c r="AZ34" i="1"/>
  <c r="AY35" i="1" l="1"/>
  <c r="BE35" i="1" s="1"/>
  <c r="AS36" i="1"/>
  <c r="AY36" i="1" l="1"/>
  <c r="BE36" i="1" s="1"/>
  <c r="AS37" i="1"/>
  <c r="AZ35" i="1"/>
  <c r="AZ36" i="1" s="1"/>
  <c r="AY37" i="1" l="1"/>
  <c r="BE37" i="1" s="1"/>
  <c r="AS38" i="1"/>
  <c r="AY38" i="1" l="1"/>
  <c r="BE38" i="1" s="1"/>
  <c r="AS39" i="1"/>
  <c r="AZ37" i="1"/>
  <c r="AZ38" i="1" s="1"/>
  <c r="AY39" i="1" l="1"/>
  <c r="BE39" i="1" s="1"/>
  <c r="AS40" i="1"/>
  <c r="AY40" i="1" l="1"/>
  <c r="BE40" i="1" s="1"/>
  <c r="AS41" i="1"/>
  <c r="AZ39" i="1"/>
  <c r="AZ40" i="1" s="1"/>
  <c r="AY41" i="1" l="1"/>
  <c r="BE41" i="1" s="1"/>
  <c r="AS42" i="1"/>
  <c r="AY42" i="1" l="1"/>
  <c r="BE42" i="1" s="1"/>
  <c r="AS43" i="1"/>
  <c r="AZ41" i="1"/>
  <c r="AZ42" i="1" s="1"/>
  <c r="AY43" i="1" l="1"/>
  <c r="BE43" i="1" s="1"/>
  <c r="AS44" i="1"/>
  <c r="AZ43" i="1" l="1"/>
  <c r="AY44" i="1"/>
  <c r="BE44" i="1" s="1"/>
  <c r="AS45" i="1"/>
  <c r="AY45" i="1" l="1"/>
  <c r="BE45" i="1" s="1"/>
  <c r="AS46" i="1"/>
  <c r="AZ44" i="1"/>
  <c r="AZ45" i="1" s="1"/>
  <c r="AY46" i="1" l="1"/>
  <c r="BE46" i="1" s="1"/>
  <c r="AS47" i="1"/>
  <c r="AY47" i="1" l="1"/>
  <c r="BE47" i="1" s="1"/>
  <c r="AZ46" i="1"/>
  <c r="AZ47" i="1" s="1"/>
</calcChain>
</file>

<file path=xl/sharedStrings.xml><?xml version="1.0" encoding="utf-8"?>
<sst xmlns="http://schemas.openxmlformats.org/spreadsheetml/2006/main" count="56" uniqueCount="55">
  <si>
    <t>Year</t>
  </si>
  <si>
    <t>Canal Debt</t>
  </si>
  <si>
    <t>Loans</t>
  </si>
  <si>
    <t>Premium on Loans</t>
  </si>
  <si>
    <t>Discount on Loans</t>
  </si>
  <si>
    <t>Avails of Loans</t>
  </si>
  <si>
    <t>Avails of Canal Revenue Certificates</t>
  </si>
  <si>
    <t>Temporary Loans</t>
  </si>
  <si>
    <t>Tolls</t>
  </si>
  <si>
    <t>Sum</t>
  </si>
  <si>
    <t>Tax</t>
  </si>
  <si>
    <t>Vendue duty</t>
  </si>
  <si>
    <t>Salt duty</t>
  </si>
  <si>
    <t>Steamboat tax</t>
  </si>
  <si>
    <t>Sales of Land</t>
  </si>
  <si>
    <t>Interest on Investments and deposits</t>
  </si>
  <si>
    <t>Rent of Surplus Water</t>
  </si>
  <si>
    <t>General Fund for Deficiences</t>
  </si>
  <si>
    <t>E. &amp; C. Canal for B.R. canal and E.C. feeder</t>
  </si>
  <si>
    <t>Erie &amp; Champain canals for deficiences</t>
  </si>
  <si>
    <t>Miscellaneous</t>
  </si>
  <si>
    <t>Totals</t>
  </si>
  <si>
    <t>Principal of loans</t>
  </si>
  <si>
    <t>Premium on purchase and investment of stock</t>
  </si>
  <si>
    <t>Interest on loans</t>
  </si>
  <si>
    <t>Canal Commissioners</t>
  </si>
  <si>
    <t>Seneca Lake Navigation Company</t>
  </si>
  <si>
    <t>General Fund</t>
  </si>
  <si>
    <t>General Fund Debt</t>
  </si>
  <si>
    <t>Deficieciens on lateral cannals and Onieda River Improvements</t>
  </si>
  <si>
    <t>Purchase of Onieda Lake canal and feder</t>
  </si>
  <si>
    <t>Contractors</t>
  </si>
  <si>
    <t>Superintendents</t>
  </si>
  <si>
    <t>REPAIR OF CANALS</t>
  </si>
  <si>
    <t>Expenses of collectors and inspectors</t>
  </si>
  <si>
    <t>Weigh Matters</t>
  </si>
  <si>
    <t>Misccellaneous</t>
  </si>
  <si>
    <t>Total</t>
  </si>
  <si>
    <t>Canal Debt Outstanding</t>
  </si>
  <si>
    <t>Running Balance</t>
  </si>
  <si>
    <t>Difference Between Revenue and Expenses</t>
  </si>
  <si>
    <t>Black River Canal for Erie Canal Feeder</t>
  </si>
  <si>
    <t>Diff</t>
  </si>
  <si>
    <t>Canal Debt Running Balance</t>
  </si>
  <si>
    <t>Change In Debt</t>
  </si>
  <si>
    <t>Change in Fund Balance</t>
  </si>
  <si>
    <t>Net Interest Payments</t>
  </si>
  <si>
    <t>Net Transfers</t>
  </si>
  <si>
    <t>Error</t>
  </si>
  <si>
    <t>Revenues - Expenses</t>
  </si>
  <si>
    <t>Total excluding loans and interest</t>
  </si>
  <si>
    <t>Total excluding loans</t>
  </si>
  <si>
    <t>Erie Canal Sinking Fund</t>
  </si>
  <si>
    <t>Expenses Net Interest and Transfers</t>
  </si>
  <si>
    <t>Revenue net Interest and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</si>
</sst>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3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3" borderId="0" xfId="0" applyFill="1" applyAlignment="1">
      <alignment vertical="center" wrapText="1"/>
    </xf>
    <xf numFmtId="43" fontId="0" fillId="36" borderId="0" xfId="1" applyFont="1" applyFill="1"/>
    <xf numFmtId="43" fontId="0" fillId="0" borderId="0" xfId="1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99"/>
  <sheetViews>
    <sheetView tabSelected="1" workbookViewId="0">
      <pane xSplit="1" ySplit="3" topLeftCell="AT29" activePane="bottomRight" state="frozen"/>
      <selection pane="topRight" activeCell="B1" sqref="B1"/>
      <selection pane="bottomLeft" activeCell="A4" sqref="A4"/>
      <selection pane="bottomRight" activeCell="BB45" sqref="BB45"/>
    </sheetView>
  </sheetViews>
  <sheetFormatPr defaultRowHeight="14.5" x14ac:dyDescent="0.35"/>
  <cols>
    <col min="2" max="7" width="16.08984375" customWidth="1"/>
    <col min="8" max="8" width="4.08984375" customWidth="1"/>
    <col min="9" max="21" width="13.26953125" customWidth="1"/>
    <col min="22" max="23" width="15.08984375" customWidth="1"/>
    <col min="24" max="24" width="2.1796875" customWidth="1"/>
    <col min="25" max="45" width="15.08984375" customWidth="1"/>
    <col min="46" max="46" width="5.36328125" customWidth="1"/>
    <col min="47" max="47" width="15.7265625" customWidth="1"/>
    <col min="48" max="48" width="14.81640625" customWidth="1"/>
    <col min="49" max="49" width="3" customWidth="1"/>
    <col min="50" max="56" width="17" customWidth="1"/>
    <col min="57" max="57" width="8.1796875" customWidth="1"/>
    <col min="58" max="58" width="17.453125" customWidth="1"/>
  </cols>
  <sheetData>
    <row r="2" spans="1:58" ht="21.5" customHeight="1" x14ac:dyDescent="0.35">
      <c r="A2" s="4"/>
      <c r="B2" s="16" t="s">
        <v>1</v>
      </c>
      <c r="C2" s="16"/>
      <c r="D2" s="16"/>
      <c r="E2" s="16"/>
      <c r="F2" s="7"/>
      <c r="G2" s="7"/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1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17" t="s">
        <v>33</v>
      </c>
      <c r="AK2" s="17"/>
      <c r="AL2" s="6"/>
      <c r="AM2" s="6"/>
      <c r="AN2" s="6"/>
      <c r="AO2" s="11"/>
      <c r="AP2" s="6"/>
      <c r="AQ2" s="6"/>
      <c r="AR2" s="6"/>
      <c r="AS2" s="6"/>
      <c r="AT2" s="6"/>
      <c r="AU2" s="6"/>
      <c r="AV2" s="8"/>
    </row>
    <row r="3" spans="1:58" ht="72.5" x14ac:dyDescent="0.35">
      <c r="A3" s="4" t="s">
        <v>0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4"/>
      <c r="I3" s="6" t="s">
        <v>8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11" t="s">
        <v>50</v>
      </c>
      <c r="V3" s="6" t="s">
        <v>21</v>
      </c>
      <c r="W3" s="6"/>
      <c r="X3" s="6"/>
      <c r="Y3" s="6" t="s">
        <v>22</v>
      </c>
      <c r="Z3" s="6" t="s">
        <v>23</v>
      </c>
      <c r="AA3" s="6" t="s">
        <v>7</v>
      </c>
      <c r="AB3" s="6" t="s">
        <v>24</v>
      </c>
      <c r="AC3" s="6" t="s">
        <v>25</v>
      </c>
      <c r="AD3" s="6" t="s">
        <v>26</v>
      </c>
      <c r="AE3" s="6" t="s">
        <v>41</v>
      </c>
      <c r="AF3" s="6" t="s">
        <v>27</v>
      </c>
      <c r="AG3" s="6" t="s">
        <v>28</v>
      </c>
      <c r="AH3" s="6" t="s">
        <v>29</v>
      </c>
      <c r="AI3" s="6" t="s">
        <v>30</v>
      </c>
      <c r="AJ3" s="6" t="s">
        <v>31</v>
      </c>
      <c r="AK3" s="6" t="s">
        <v>32</v>
      </c>
      <c r="AL3" s="6" t="s">
        <v>34</v>
      </c>
      <c r="AM3" s="6" t="s">
        <v>35</v>
      </c>
      <c r="AN3" s="6" t="s">
        <v>36</v>
      </c>
      <c r="AO3" s="11" t="s">
        <v>51</v>
      </c>
      <c r="AP3" s="6" t="s">
        <v>37</v>
      </c>
      <c r="AQ3" s="6" t="s">
        <v>42</v>
      </c>
      <c r="AR3" s="6" t="s">
        <v>40</v>
      </c>
      <c r="AS3" s="6" t="s">
        <v>39</v>
      </c>
      <c r="AT3" s="6"/>
      <c r="AU3" s="6" t="s">
        <v>43</v>
      </c>
      <c r="AV3" s="3" t="s">
        <v>38</v>
      </c>
      <c r="AX3" s="6" t="s">
        <v>44</v>
      </c>
      <c r="AY3" s="6" t="s">
        <v>45</v>
      </c>
      <c r="AZ3" s="12" t="s">
        <v>52</v>
      </c>
      <c r="BA3" s="6" t="s">
        <v>53</v>
      </c>
      <c r="BB3" s="6" t="s">
        <v>54</v>
      </c>
      <c r="BC3" s="6" t="s">
        <v>46</v>
      </c>
      <c r="BD3" s="6" t="s">
        <v>47</v>
      </c>
      <c r="BE3" s="6" t="s">
        <v>48</v>
      </c>
      <c r="BF3" s="6" t="s">
        <v>49</v>
      </c>
    </row>
    <row r="4" spans="1:58" x14ac:dyDescent="0.35">
      <c r="A4">
        <v>1817</v>
      </c>
      <c r="B4" s="1">
        <v>200000</v>
      </c>
      <c r="C4" s="1">
        <v>0</v>
      </c>
      <c r="D4" s="1">
        <v>0</v>
      </c>
      <c r="E4" s="1">
        <f>+B4+C4-D4</f>
        <v>200000</v>
      </c>
      <c r="F4" s="1">
        <v>0</v>
      </c>
      <c r="G4" s="1">
        <v>0</v>
      </c>
      <c r="I4" s="1">
        <v>0</v>
      </c>
      <c r="J4" s="1">
        <v>0</v>
      </c>
      <c r="K4" s="1">
        <v>72061.41</v>
      </c>
      <c r="L4" s="1">
        <v>2926.28</v>
      </c>
      <c r="M4" s="1">
        <v>16509.93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f>SUM(I4:T4)-O4</f>
        <v>91497.62</v>
      </c>
      <c r="V4" s="1">
        <f>SUM(E4:T4)</f>
        <v>291497.62000000005</v>
      </c>
      <c r="W4" s="1"/>
      <c r="X4" s="1"/>
      <c r="Y4" s="1">
        <v>0</v>
      </c>
      <c r="Z4" s="1">
        <v>0</v>
      </c>
      <c r="AA4" s="1">
        <v>0</v>
      </c>
      <c r="AB4" s="1">
        <v>6000</v>
      </c>
      <c r="AC4" s="1">
        <v>200000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200</v>
      </c>
      <c r="AO4" s="1">
        <f>SUM(AC4:AN4)</f>
        <v>200200</v>
      </c>
      <c r="AP4" s="1">
        <f>SUM(Y4:AN4)</f>
        <v>206200</v>
      </c>
      <c r="AQ4" s="1"/>
      <c r="AR4" s="1">
        <f>+V4-AP4</f>
        <v>85297.620000000054</v>
      </c>
      <c r="AS4" s="1">
        <f>+AR4</f>
        <v>85297.620000000054</v>
      </c>
      <c r="AT4" s="1"/>
      <c r="AU4" s="1">
        <f>+B4</f>
        <v>200000</v>
      </c>
      <c r="AV4" s="1">
        <v>200000</v>
      </c>
      <c r="AX4" s="2">
        <f>+AU4</f>
        <v>200000</v>
      </c>
      <c r="AY4" s="2">
        <f>+AS4</f>
        <v>85297.620000000054</v>
      </c>
      <c r="AZ4" s="2">
        <f>+AY4</f>
        <v>85297.620000000054</v>
      </c>
      <c r="BA4" s="2">
        <f>+Z4+AC4+AD4+AE4+SUM(AH4:AN4)</f>
        <v>200200</v>
      </c>
      <c r="BB4" s="2">
        <f>SUM(I4:N4) +P4+R4+S4+T4-J4</f>
        <v>91497.62</v>
      </c>
      <c r="BC4" s="2">
        <f>+AB4-O4-C4+D4</f>
        <v>6000</v>
      </c>
      <c r="BD4" s="2">
        <f>+AF4+AG4-Q4-J4</f>
        <v>0</v>
      </c>
      <c r="BE4" s="2">
        <f>+AX4-AY4-(BA4-BB4+BC4+BD4)</f>
        <v>0</v>
      </c>
      <c r="BF4" s="2">
        <f>+BB4-BA4</f>
        <v>-108702.38</v>
      </c>
    </row>
    <row r="5" spans="1:58" x14ac:dyDescent="0.35">
      <c r="A5">
        <v>1818</v>
      </c>
      <c r="B5" s="1">
        <v>200000</v>
      </c>
      <c r="C5" s="1">
        <v>9040</v>
      </c>
      <c r="D5" s="1">
        <v>0</v>
      </c>
      <c r="E5" s="1">
        <f t="shared" ref="E5:E47" si="0">+B5+C5-D5</f>
        <v>209040</v>
      </c>
      <c r="F5" s="1">
        <v>0</v>
      </c>
      <c r="G5" s="1">
        <v>0</v>
      </c>
      <c r="I5" s="1">
        <v>0</v>
      </c>
      <c r="J5" s="1">
        <v>0</v>
      </c>
      <c r="K5" s="1">
        <v>145943.01999999999</v>
      </c>
      <c r="L5" s="1">
        <v>48784.27</v>
      </c>
      <c r="M5" s="1">
        <v>18902.7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5060</v>
      </c>
      <c r="U5" s="1">
        <f t="shared" ref="U5:U47" si="1">SUM(I5:T5)-O5</f>
        <v>218689.99</v>
      </c>
      <c r="V5" s="9">
        <f t="shared" ref="V5:V47" si="2">SUM(E5:T5)</f>
        <v>427729.99000000005</v>
      </c>
      <c r="W5" s="9">
        <f>+V5-527729.99</f>
        <v>-99999.999999999942</v>
      </c>
      <c r="X5" s="1"/>
      <c r="Y5" s="1">
        <v>0</v>
      </c>
      <c r="Z5" s="1">
        <v>0</v>
      </c>
      <c r="AA5" s="1">
        <v>0</v>
      </c>
      <c r="AB5" s="1">
        <v>16250</v>
      </c>
      <c r="AC5" s="1">
        <v>466900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158.37</v>
      </c>
      <c r="AO5" s="1">
        <f t="shared" ref="AO5:AO47" si="3">SUM(AC5:AN5)</f>
        <v>467058.37</v>
      </c>
      <c r="AP5" s="1">
        <f t="shared" ref="AP5:AP47" si="4">SUM(Y5:AN5)</f>
        <v>483308.37</v>
      </c>
      <c r="AQ5" s="1"/>
      <c r="AR5" s="1">
        <f t="shared" ref="AR5:AR47" si="5">+V5-AP5</f>
        <v>-55578.379999999946</v>
      </c>
      <c r="AS5" s="1">
        <f>+AS4+AR5</f>
        <v>29719.240000000107</v>
      </c>
      <c r="AT5" s="1"/>
      <c r="AU5" s="1">
        <f>+AU4+B5+G5-Y5-AA5</f>
        <v>400000</v>
      </c>
      <c r="AV5" s="1">
        <v>400000</v>
      </c>
      <c r="AX5" s="2">
        <f>+AU5-AU4</f>
        <v>200000</v>
      </c>
      <c r="AY5" s="2">
        <f>+AS5-AS4</f>
        <v>-55578.379999999946</v>
      </c>
      <c r="AZ5" s="2">
        <f>+AZ4+AY5</f>
        <v>29719.240000000107</v>
      </c>
      <c r="BA5" s="2">
        <f>+Z5+AC5+AD5+AE5+SUM(AH5:AN5)</f>
        <v>467058.37</v>
      </c>
      <c r="BB5" s="2">
        <f t="shared" ref="BB5:BB47" si="6">SUM(I5:N5) +P5+R5+S5+T5-J5</f>
        <v>218689.99</v>
      </c>
      <c r="BC5" s="2">
        <f>+AB5-O5-C5+D5</f>
        <v>7210</v>
      </c>
      <c r="BD5" s="2">
        <f t="shared" ref="BD5:BD47" si="7">+AF5+AG5-Q5-J5</f>
        <v>0</v>
      </c>
      <c r="BE5" s="2">
        <f t="shared" ref="BE5:BE47" si="8">+AX5-AY5-(BA5-BB5+BC5+BD5)</f>
        <v>0</v>
      </c>
      <c r="BF5" s="2">
        <f t="shared" ref="BF5:BF47" si="9">+BB5-BA5</f>
        <v>-248368.38</v>
      </c>
    </row>
    <row r="6" spans="1:58" x14ac:dyDescent="0.35">
      <c r="A6">
        <v>1819</v>
      </c>
      <c r="B6" s="1">
        <v>400000</v>
      </c>
      <c r="C6" s="1">
        <v>7885</v>
      </c>
      <c r="D6" s="1">
        <v>0</v>
      </c>
      <c r="E6" s="1">
        <f t="shared" si="0"/>
        <v>407885</v>
      </c>
      <c r="F6" s="1">
        <v>0</v>
      </c>
      <c r="G6" s="1">
        <v>0</v>
      </c>
      <c r="I6" s="1">
        <v>0</v>
      </c>
      <c r="J6" s="1">
        <v>0</v>
      </c>
      <c r="K6" s="1">
        <v>111319.03999999999</v>
      </c>
      <c r="L6" s="1">
        <v>54410.69</v>
      </c>
      <c r="M6" s="1">
        <v>16412.439999999999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f t="shared" si="1"/>
        <v>182142.16999999998</v>
      </c>
      <c r="V6" s="1">
        <f t="shared" si="2"/>
        <v>590027.16999999993</v>
      </c>
      <c r="W6" s="1"/>
      <c r="X6" s="1"/>
      <c r="Y6" s="1">
        <v>0</v>
      </c>
      <c r="Z6" s="1">
        <v>0</v>
      </c>
      <c r="AA6" s="1">
        <v>0</v>
      </c>
      <c r="AB6" s="1">
        <v>38836.639999999999</v>
      </c>
      <c r="AC6" s="1">
        <v>587467.09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167.37</v>
      </c>
      <c r="AO6" s="1">
        <f t="shared" si="3"/>
        <v>587634.46</v>
      </c>
      <c r="AP6" s="1">
        <f t="shared" si="4"/>
        <v>626471.1</v>
      </c>
      <c r="AQ6" s="1"/>
      <c r="AR6" s="1">
        <f t="shared" si="5"/>
        <v>-36443.930000000051</v>
      </c>
      <c r="AS6" s="1">
        <f t="shared" ref="AS6:AS47" si="10">+AS5+AR6</f>
        <v>-6724.6899999999441</v>
      </c>
      <c r="AT6" s="1"/>
      <c r="AU6" s="1">
        <f t="shared" ref="AU6:AU47" si="11">+AU5+B6+G6-Y6-AA6</f>
        <v>800000</v>
      </c>
      <c r="AV6" s="1">
        <v>800000</v>
      </c>
      <c r="AX6" s="2">
        <f t="shared" ref="AX6:AX47" si="12">+AU6-AU5</f>
        <v>400000</v>
      </c>
      <c r="AY6" s="2">
        <f t="shared" ref="AY6:AY47" si="13">+AS6-AS5</f>
        <v>-36443.930000000051</v>
      </c>
      <c r="AZ6" s="2">
        <f t="shared" ref="AZ6:AZ47" si="14">+AZ5+AY6</f>
        <v>-6724.6899999999441</v>
      </c>
      <c r="BA6" s="2">
        <f t="shared" ref="BA6:BA47" si="15">+Z6+AC6+AD6+AE6+SUM(AH6:AN6)</f>
        <v>587634.46</v>
      </c>
      <c r="BB6" s="2">
        <f t="shared" si="6"/>
        <v>182142.16999999998</v>
      </c>
      <c r="BC6" s="2">
        <f t="shared" ref="BC6:BC47" si="16">+AB6-O6-C6+D6</f>
        <v>30951.64</v>
      </c>
      <c r="BD6" s="2">
        <f t="shared" si="7"/>
        <v>0</v>
      </c>
      <c r="BE6" s="2">
        <f t="shared" si="8"/>
        <v>0</v>
      </c>
      <c r="BF6" s="2">
        <f t="shared" si="9"/>
        <v>-405492.29</v>
      </c>
    </row>
    <row r="7" spans="1:58" x14ac:dyDescent="0.35">
      <c r="A7">
        <v>1820</v>
      </c>
      <c r="B7" s="1">
        <v>693500</v>
      </c>
      <c r="C7" s="1">
        <v>23517.5</v>
      </c>
      <c r="D7" s="1">
        <v>0</v>
      </c>
      <c r="E7" s="1">
        <f t="shared" si="0"/>
        <v>717017.5</v>
      </c>
      <c r="F7" s="1">
        <v>0</v>
      </c>
      <c r="G7" s="1">
        <v>0</v>
      </c>
      <c r="I7" s="1">
        <v>0</v>
      </c>
      <c r="J7" s="1">
        <v>0</v>
      </c>
      <c r="K7" s="1">
        <v>122653.07</v>
      </c>
      <c r="L7" s="1">
        <v>67038.67</v>
      </c>
      <c r="M7" s="1">
        <v>6684.92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3678</v>
      </c>
      <c r="U7" s="1">
        <f t="shared" si="1"/>
        <v>200054.66</v>
      </c>
      <c r="V7" s="1">
        <f t="shared" si="2"/>
        <v>917072.16000000015</v>
      </c>
      <c r="W7" s="1"/>
      <c r="X7" s="1"/>
      <c r="Y7" s="1">
        <v>0</v>
      </c>
      <c r="Z7" s="1">
        <v>0</v>
      </c>
      <c r="AA7" s="1">
        <v>0</v>
      </c>
      <c r="AB7" s="1">
        <v>70927.27</v>
      </c>
      <c r="AC7" s="1">
        <v>668900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152951.38</v>
      </c>
      <c r="AO7" s="1">
        <f t="shared" si="3"/>
        <v>821851.38</v>
      </c>
      <c r="AP7" s="1">
        <f t="shared" si="4"/>
        <v>892778.65</v>
      </c>
      <c r="AQ7" s="1"/>
      <c r="AR7" s="1">
        <f t="shared" si="5"/>
        <v>24293.510000000126</v>
      </c>
      <c r="AS7" s="1">
        <f t="shared" si="10"/>
        <v>17568.820000000182</v>
      </c>
      <c r="AT7" s="1"/>
      <c r="AU7" s="1">
        <f t="shared" si="11"/>
        <v>1493500</v>
      </c>
      <c r="AV7" s="2">
        <f>+AV6+130000+300000+151000+112500</f>
        <v>1493500</v>
      </c>
      <c r="AX7" s="2">
        <f t="shared" si="12"/>
        <v>693500</v>
      </c>
      <c r="AY7" s="2">
        <f t="shared" si="13"/>
        <v>24293.510000000126</v>
      </c>
      <c r="AZ7" s="2">
        <f t="shared" si="14"/>
        <v>17568.820000000182</v>
      </c>
      <c r="BA7" s="2">
        <f t="shared" si="15"/>
        <v>821851.38</v>
      </c>
      <c r="BB7" s="2">
        <f t="shared" si="6"/>
        <v>200054.66</v>
      </c>
      <c r="BC7" s="2">
        <f t="shared" si="16"/>
        <v>47409.770000000004</v>
      </c>
      <c r="BD7" s="2">
        <f t="shared" si="7"/>
        <v>0</v>
      </c>
      <c r="BE7" s="2">
        <f t="shared" si="8"/>
        <v>0</v>
      </c>
      <c r="BF7" s="2">
        <f t="shared" si="9"/>
        <v>-621796.72</v>
      </c>
    </row>
    <row r="8" spans="1:58" x14ac:dyDescent="0.35">
      <c r="A8">
        <v>1821</v>
      </c>
      <c r="B8" s="1">
        <v>1400000</v>
      </c>
      <c r="C8" s="1">
        <v>50760</v>
      </c>
      <c r="D8" s="1">
        <v>0</v>
      </c>
      <c r="E8" s="1">
        <f t="shared" si="0"/>
        <v>1450760</v>
      </c>
      <c r="F8" s="1">
        <v>0</v>
      </c>
      <c r="G8" s="1">
        <v>0</v>
      </c>
      <c r="I8" s="1">
        <v>2200</v>
      </c>
      <c r="J8" s="1">
        <v>0</v>
      </c>
      <c r="K8" s="1">
        <v>121195.97</v>
      </c>
      <c r="L8" s="1">
        <v>46345.24</v>
      </c>
      <c r="M8" s="1">
        <v>5000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f t="shared" si="1"/>
        <v>174741.21</v>
      </c>
      <c r="V8" s="1">
        <f t="shared" si="2"/>
        <v>1625501.21</v>
      </c>
      <c r="W8" s="1"/>
      <c r="X8" s="1"/>
      <c r="Y8" s="1">
        <v>0</v>
      </c>
      <c r="Z8" s="1">
        <v>0</v>
      </c>
      <c r="AA8" s="1">
        <v>0</v>
      </c>
      <c r="AB8" s="1">
        <v>123672.55</v>
      </c>
      <c r="AC8" s="1">
        <v>1120500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2707.95</v>
      </c>
      <c r="AO8" s="1">
        <f t="shared" si="3"/>
        <v>1123207.95</v>
      </c>
      <c r="AP8" s="1">
        <f t="shared" si="4"/>
        <v>1246880.5</v>
      </c>
      <c r="AQ8" s="1"/>
      <c r="AR8" s="1">
        <f t="shared" si="5"/>
        <v>378620.70999999996</v>
      </c>
      <c r="AS8" s="1">
        <f t="shared" si="10"/>
        <v>396189.53000000014</v>
      </c>
      <c r="AT8" s="1"/>
      <c r="AU8" s="1">
        <f t="shared" si="11"/>
        <v>2893500</v>
      </c>
      <c r="AV8" s="2">
        <v>2893500</v>
      </c>
      <c r="AX8" s="2">
        <f t="shared" si="12"/>
        <v>1400000</v>
      </c>
      <c r="AY8" s="2">
        <f t="shared" si="13"/>
        <v>378620.70999999996</v>
      </c>
      <c r="AZ8" s="2">
        <f t="shared" si="14"/>
        <v>396189.53000000014</v>
      </c>
      <c r="BA8" s="2">
        <f t="shared" si="15"/>
        <v>1123207.95</v>
      </c>
      <c r="BB8" s="2">
        <f t="shared" si="6"/>
        <v>174741.21</v>
      </c>
      <c r="BC8" s="2">
        <f t="shared" si="16"/>
        <v>72912.55</v>
      </c>
      <c r="BD8" s="2">
        <f t="shared" si="7"/>
        <v>0</v>
      </c>
      <c r="BE8" s="2">
        <f t="shared" si="8"/>
        <v>0</v>
      </c>
      <c r="BF8" s="2">
        <f t="shared" si="9"/>
        <v>-948466.74</v>
      </c>
    </row>
    <row r="9" spans="1:58" x14ac:dyDescent="0.35">
      <c r="A9">
        <v>1822</v>
      </c>
      <c r="B9" s="1">
        <v>1350000</v>
      </c>
      <c r="C9" s="1">
        <v>47827.75</v>
      </c>
      <c r="D9" s="1">
        <v>5093.75</v>
      </c>
      <c r="E9" s="1">
        <f t="shared" si="0"/>
        <v>1392734</v>
      </c>
      <c r="F9" s="1">
        <v>0</v>
      </c>
      <c r="G9" s="1">
        <v>0</v>
      </c>
      <c r="I9" s="1">
        <v>44486.720000000001</v>
      </c>
      <c r="J9" s="1">
        <v>0</v>
      </c>
      <c r="K9" s="1">
        <v>146485.59</v>
      </c>
      <c r="L9" s="1">
        <v>65416.37</v>
      </c>
      <c r="M9" s="1">
        <v>5000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f t="shared" si="1"/>
        <v>261388.68</v>
      </c>
      <c r="V9" s="1">
        <f t="shared" si="2"/>
        <v>1654122.6800000002</v>
      </c>
      <c r="W9" s="1"/>
      <c r="X9" s="1"/>
      <c r="Y9" s="1">
        <v>0</v>
      </c>
      <c r="Z9" s="1">
        <v>0</v>
      </c>
      <c r="AA9" s="1">
        <v>0</v>
      </c>
      <c r="AB9" s="1">
        <v>190948.5</v>
      </c>
      <c r="AC9" s="1">
        <v>1955012.23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1787.5</v>
      </c>
      <c r="AO9" s="1">
        <f t="shared" si="3"/>
        <v>1956799.73</v>
      </c>
      <c r="AP9" s="1">
        <f t="shared" si="4"/>
        <v>2147748.23</v>
      </c>
      <c r="AQ9" s="1"/>
      <c r="AR9" s="1">
        <f t="shared" si="5"/>
        <v>-493625.54999999981</v>
      </c>
      <c r="AS9" s="1">
        <f t="shared" si="10"/>
        <v>-97436.019999999669</v>
      </c>
      <c r="AT9" s="1"/>
      <c r="AU9" s="1">
        <f t="shared" si="11"/>
        <v>4243500</v>
      </c>
      <c r="AV9" s="1">
        <v>4243500</v>
      </c>
      <c r="AX9" s="2">
        <f t="shared" si="12"/>
        <v>1350000</v>
      </c>
      <c r="AY9" s="2">
        <f t="shared" si="13"/>
        <v>-493625.54999999981</v>
      </c>
      <c r="AZ9" s="2">
        <f t="shared" si="14"/>
        <v>-97436.019999999669</v>
      </c>
      <c r="BA9" s="2">
        <f t="shared" si="15"/>
        <v>1956799.73</v>
      </c>
      <c r="BB9" s="2">
        <f t="shared" si="6"/>
        <v>261388.68</v>
      </c>
      <c r="BC9" s="2">
        <f t="shared" si="16"/>
        <v>148214.5</v>
      </c>
      <c r="BD9" s="2">
        <f t="shared" si="7"/>
        <v>0</v>
      </c>
      <c r="BE9" s="2">
        <f t="shared" si="8"/>
        <v>0</v>
      </c>
      <c r="BF9" s="2">
        <f t="shared" si="9"/>
        <v>-1695411.05</v>
      </c>
    </row>
    <row r="10" spans="1:58" x14ac:dyDescent="0.35">
      <c r="A10">
        <v>1823</v>
      </c>
      <c r="B10" s="1">
        <v>1656000</v>
      </c>
      <c r="C10" s="1">
        <v>1609.5</v>
      </c>
      <c r="D10" s="1">
        <v>59895</v>
      </c>
      <c r="E10" s="1">
        <f t="shared" si="0"/>
        <v>1597714.5</v>
      </c>
      <c r="F10" s="1">
        <v>0</v>
      </c>
      <c r="G10" s="1">
        <v>0</v>
      </c>
      <c r="I10" s="1">
        <v>119988.08</v>
      </c>
      <c r="J10" s="1">
        <v>0</v>
      </c>
      <c r="K10" s="1">
        <v>181814.36</v>
      </c>
      <c r="L10" s="1">
        <v>102221.64</v>
      </c>
      <c r="M10" s="1">
        <v>5000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f t="shared" si="1"/>
        <v>409024.08</v>
      </c>
      <c r="V10" s="1">
        <f t="shared" si="2"/>
        <v>2006738.5799999998</v>
      </c>
      <c r="W10" s="1"/>
      <c r="X10" s="1"/>
      <c r="Y10" s="1">
        <v>0</v>
      </c>
      <c r="Z10" s="1">
        <v>0</v>
      </c>
      <c r="AA10" s="1">
        <v>0</v>
      </c>
      <c r="AB10" s="1">
        <v>209297.13</v>
      </c>
      <c r="AC10" s="1">
        <v>1784102.61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484.8</v>
      </c>
      <c r="AO10" s="1">
        <f t="shared" si="3"/>
        <v>1784587.4100000001</v>
      </c>
      <c r="AP10" s="1">
        <f t="shared" si="4"/>
        <v>1993884.5400000003</v>
      </c>
      <c r="AQ10" s="1"/>
      <c r="AR10" s="1">
        <f t="shared" si="5"/>
        <v>12854.039999999572</v>
      </c>
      <c r="AS10" s="1">
        <f t="shared" si="10"/>
        <v>-84581.980000000098</v>
      </c>
      <c r="AT10" s="1"/>
      <c r="AU10" s="1">
        <f t="shared" si="11"/>
        <v>5899500</v>
      </c>
      <c r="AV10" s="1">
        <v>5899500</v>
      </c>
      <c r="AX10" s="2">
        <f t="shared" si="12"/>
        <v>1656000</v>
      </c>
      <c r="AY10" s="2">
        <f t="shared" si="13"/>
        <v>12854.039999999572</v>
      </c>
      <c r="AZ10" s="2">
        <f t="shared" si="14"/>
        <v>-84581.980000000098</v>
      </c>
      <c r="BA10" s="2">
        <f t="shared" si="15"/>
        <v>1784587.4100000001</v>
      </c>
      <c r="BB10" s="2">
        <f t="shared" si="6"/>
        <v>409024.08</v>
      </c>
      <c r="BC10" s="2">
        <f t="shared" si="16"/>
        <v>267582.63</v>
      </c>
      <c r="BD10" s="2">
        <f t="shared" si="7"/>
        <v>0</v>
      </c>
      <c r="BE10" s="2">
        <f t="shared" si="8"/>
        <v>0</v>
      </c>
      <c r="BF10" s="2">
        <f t="shared" si="9"/>
        <v>-1375563.33</v>
      </c>
    </row>
    <row r="11" spans="1:58" x14ac:dyDescent="0.35">
      <c r="A11">
        <v>1824</v>
      </c>
      <c r="B11" s="1">
        <v>1568270.99</v>
      </c>
      <c r="C11" s="1">
        <v>82729.009999999995</v>
      </c>
      <c r="D11" s="1">
        <v>0</v>
      </c>
      <c r="E11" s="1">
        <f t="shared" si="0"/>
        <v>1651000</v>
      </c>
      <c r="F11" s="1">
        <v>0</v>
      </c>
      <c r="G11" s="1">
        <v>0</v>
      </c>
      <c r="I11" s="1">
        <v>289320.58</v>
      </c>
      <c r="J11" s="1">
        <v>0</v>
      </c>
      <c r="K11" s="1">
        <v>196424.73</v>
      </c>
      <c r="L11" s="1">
        <v>99211.18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f t="shared" si="1"/>
        <v>584956.49</v>
      </c>
      <c r="V11" s="1">
        <f t="shared" si="2"/>
        <v>2235956.4900000002</v>
      </c>
      <c r="W11" s="1"/>
      <c r="X11" s="1"/>
      <c r="Y11" s="1">
        <v>0</v>
      </c>
      <c r="Z11" s="1">
        <v>0</v>
      </c>
      <c r="AA11" s="1">
        <v>0</v>
      </c>
      <c r="AB11" s="1">
        <v>442041.4</v>
      </c>
      <c r="AC11" s="1">
        <v>1275543.82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194.44</v>
      </c>
      <c r="AO11" s="1">
        <f t="shared" si="3"/>
        <v>1275738.26</v>
      </c>
      <c r="AP11" s="1">
        <f t="shared" si="4"/>
        <v>1717779.6600000001</v>
      </c>
      <c r="AQ11" s="1"/>
      <c r="AR11" s="1">
        <f t="shared" si="5"/>
        <v>518176.83000000007</v>
      </c>
      <c r="AS11" s="1">
        <f t="shared" si="10"/>
        <v>433594.85</v>
      </c>
      <c r="AT11" s="1"/>
      <c r="AU11" s="1">
        <f t="shared" si="11"/>
        <v>7467770.9900000002</v>
      </c>
      <c r="AV11" s="1">
        <v>7467700.9900000002</v>
      </c>
      <c r="AX11" s="2">
        <f t="shared" si="12"/>
        <v>1568270.9900000002</v>
      </c>
      <c r="AY11" s="2">
        <f t="shared" si="13"/>
        <v>518176.83000000007</v>
      </c>
      <c r="AZ11" s="2">
        <f t="shared" si="14"/>
        <v>433594.85</v>
      </c>
      <c r="BA11" s="2">
        <f t="shared" si="15"/>
        <v>1275738.26</v>
      </c>
      <c r="BB11" s="2">
        <f t="shared" si="6"/>
        <v>584956.49</v>
      </c>
      <c r="BC11" s="2">
        <f t="shared" si="16"/>
        <v>359312.39</v>
      </c>
      <c r="BD11" s="2">
        <f t="shared" si="7"/>
        <v>0</v>
      </c>
      <c r="BE11" s="2">
        <f t="shared" si="8"/>
        <v>0</v>
      </c>
      <c r="BF11" s="2">
        <f t="shared" si="9"/>
        <v>-690781.77</v>
      </c>
    </row>
    <row r="12" spans="1:58" x14ac:dyDescent="0.35">
      <c r="A12">
        <v>1825</v>
      </c>
      <c r="B12" s="1">
        <v>270000</v>
      </c>
      <c r="C12" s="1">
        <v>0</v>
      </c>
      <c r="D12" s="1">
        <v>0</v>
      </c>
      <c r="E12" s="1">
        <f t="shared" si="0"/>
        <v>270000</v>
      </c>
      <c r="F12" s="1">
        <v>0</v>
      </c>
      <c r="G12" s="1">
        <v>0</v>
      </c>
      <c r="I12" s="1">
        <v>521343.94</v>
      </c>
      <c r="J12" s="1">
        <v>0</v>
      </c>
      <c r="K12" s="1">
        <v>253452.38</v>
      </c>
      <c r="L12" s="1">
        <v>71222.75</v>
      </c>
      <c r="M12" s="1">
        <v>0</v>
      </c>
      <c r="N12" s="1">
        <v>2371.3000000000002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f t="shared" si="1"/>
        <v>848390.37000000011</v>
      </c>
      <c r="V12" s="1">
        <f t="shared" si="2"/>
        <v>1118390.3699999999</v>
      </c>
      <c r="W12" s="1"/>
      <c r="X12" s="1"/>
      <c r="Y12" s="1">
        <v>0</v>
      </c>
      <c r="Z12" s="1">
        <v>0</v>
      </c>
      <c r="AA12" s="1">
        <v>0</v>
      </c>
      <c r="AB12" s="1">
        <v>409884.24</v>
      </c>
      <c r="AC12" s="1">
        <v>990537.84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16121.62</v>
      </c>
      <c r="AO12" s="1">
        <f t="shared" si="3"/>
        <v>1006659.46</v>
      </c>
      <c r="AP12" s="1">
        <f t="shared" si="4"/>
        <v>1416543.7000000002</v>
      </c>
      <c r="AQ12" s="1"/>
      <c r="AR12" s="1">
        <f t="shared" si="5"/>
        <v>-298153.33000000031</v>
      </c>
      <c r="AS12" s="1">
        <f t="shared" si="10"/>
        <v>135441.51999999967</v>
      </c>
      <c r="AT12" s="1"/>
      <c r="AU12" s="1">
        <f t="shared" si="11"/>
        <v>7737770.9900000002</v>
      </c>
      <c r="AV12" s="1">
        <v>7737770.9900000002</v>
      </c>
      <c r="AX12" s="2">
        <f t="shared" si="12"/>
        <v>270000</v>
      </c>
      <c r="AY12" s="2">
        <f t="shared" si="13"/>
        <v>-298153.33000000031</v>
      </c>
      <c r="AZ12" s="2">
        <f t="shared" si="14"/>
        <v>135441.51999999967</v>
      </c>
      <c r="BA12" s="2">
        <f t="shared" si="15"/>
        <v>1006659.46</v>
      </c>
      <c r="BB12" s="2">
        <f t="shared" si="6"/>
        <v>848390.37000000011</v>
      </c>
      <c r="BC12" s="2">
        <f t="shared" si="16"/>
        <v>409884.24</v>
      </c>
      <c r="BD12" s="2">
        <f t="shared" si="7"/>
        <v>0</v>
      </c>
      <c r="BE12" s="2">
        <f t="shared" si="8"/>
        <v>0</v>
      </c>
      <c r="BF12" s="2">
        <f t="shared" si="9"/>
        <v>-158269.08999999985</v>
      </c>
    </row>
    <row r="13" spans="1:58" x14ac:dyDescent="0.35">
      <c r="A13">
        <v>1826</v>
      </c>
      <c r="B13" s="1">
        <v>377000</v>
      </c>
      <c r="C13" s="1">
        <v>9000</v>
      </c>
      <c r="D13" s="1">
        <v>0</v>
      </c>
      <c r="E13" s="1">
        <f t="shared" si="0"/>
        <v>386000</v>
      </c>
      <c r="F13" s="1">
        <v>0</v>
      </c>
      <c r="G13" s="1">
        <v>0</v>
      </c>
      <c r="I13" s="1">
        <v>844508.02</v>
      </c>
      <c r="J13" s="1">
        <v>0</v>
      </c>
      <c r="K13" s="1">
        <v>203737.84</v>
      </c>
      <c r="L13" s="1">
        <v>83272.59</v>
      </c>
      <c r="M13" s="1">
        <v>0</v>
      </c>
      <c r="N13" s="1">
        <v>30182.19</v>
      </c>
      <c r="O13" s="1">
        <v>4515.3999999999996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f t="shared" si="1"/>
        <v>1161700.6399999999</v>
      </c>
      <c r="V13" s="1">
        <f t="shared" si="2"/>
        <v>1552216.04</v>
      </c>
      <c r="W13" s="1"/>
      <c r="X13" s="1"/>
      <c r="Y13" s="1">
        <v>270000</v>
      </c>
      <c r="Z13" s="1">
        <v>0</v>
      </c>
      <c r="AA13" s="1">
        <v>0</v>
      </c>
      <c r="AB13" s="1">
        <v>423951.2</v>
      </c>
      <c r="AC13" s="1">
        <v>648365.94999999995</v>
      </c>
      <c r="AD13" s="1">
        <v>34095.83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124652.51</v>
      </c>
      <c r="AL13" s="1">
        <v>255.83</v>
      </c>
      <c r="AM13" s="1">
        <v>0</v>
      </c>
      <c r="AN13" s="1">
        <v>3511.48</v>
      </c>
      <c r="AO13" s="1">
        <f t="shared" si="3"/>
        <v>810881.59999999986</v>
      </c>
      <c r="AP13" s="1">
        <f t="shared" si="4"/>
        <v>1504832.8</v>
      </c>
      <c r="AQ13" s="1"/>
      <c r="AR13" s="1">
        <f t="shared" si="5"/>
        <v>47383.239999999991</v>
      </c>
      <c r="AS13" s="1">
        <f t="shared" si="10"/>
        <v>182824.75999999966</v>
      </c>
      <c r="AT13" s="1"/>
      <c r="AU13" s="1">
        <f t="shared" si="11"/>
        <v>7844770.9900000002</v>
      </c>
      <c r="AV13" s="1">
        <v>7844770.9900000002</v>
      </c>
      <c r="AX13" s="2">
        <f t="shared" si="12"/>
        <v>107000</v>
      </c>
      <c r="AY13" s="2">
        <f t="shared" si="13"/>
        <v>47383.239999999991</v>
      </c>
      <c r="AZ13" s="2">
        <f t="shared" si="14"/>
        <v>182824.75999999966</v>
      </c>
      <c r="BA13" s="2">
        <f t="shared" si="15"/>
        <v>810881.59999999986</v>
      </c>
      <c r="BB13" s="2">
        <f t="shared" si="6"/>
        <v>1161700.6399999999</v>
      </c>
      <c r="BC13" s="2">
        <f t="shared" si="16"/>
        <v>410435.8</v>
      </c>
      <c r="BD13" s="2">
        <f t="shared" si="7"/>
        <v>0</v>
      </c>
      <c r="BE13" s="2">
        <f t="shared" si="8"/>
        <v>5.8207660913467407E-11</v>
      </c>
      <c r="BF13" s="2">
        <f t="shared" si="9"/>
        <v>350819.04000000004</v>
      </c>
    </row>
    <row r="14" spans="1:58" x14ac:dyDescent="0.35">
      <c r="A14">
        <v>1827</v>
      </c>
      <c r="B14" s="1">
        <v>0</v>
      </c>
      <c r="C14" s="1">
        <v>0</v>
      </c>
      <c r="D14" s="1">
        <v>0</v>
      </c>
      <c r="E14" s="1">
        <f t="shared" si="0"/>
        <v>0</v>
      </c>
      <c r="F14" s="1">
        <v>0</v>
      </c>
      <c r="G14" s="1">
        <v>0</v>
      </c>
      <c r="I14" s="1">
        <v>880454.09</v>
      </c>
      <c r="J14" s="1">
        <v>0</v>
      </c>
      <c r="K14" s="1">
        <v>265290.65000000002</v>
      </c>
      <c r="L14" s="1">
        <v>126030.58</v>
      </c>
      <c r="M14" s="1">
        <v>0</v>
      </c>
      <c r="N14" s="1">
        <v>30950.6</v>
      </c>
      <c r="O14" s="1">
        <v>9487.9599999999991</v>
      </c>
      <c r="P14" s="1">
        <v>680</v>
      </c>
      <c r="Q14" s="1">
        <v>0</v>
      </c>
      <c r="R14" s="1">
        <v>0</v>
      </c>
      <c r="S14" s="1">
        <v>0</v>
      </c>
      <c r="T14" s="1">
        <v>0</v>
      </c>
      <c r="U14" s="1">
        <f t="shared" si="1"/>
        <v>1303405.9200000002</v>
      </c>
      <c r="V14" s="1">
        <f t="shared" si="2"/>
        <v>1312893.8800000001</v>
      </c>
      <c r="W14" s="1"/>
      <c r="X14" s="1"/>
      <c r="Y14" s="1">
        <v>94615</v>
      </c>
      <c r="Z14" s="1">
        <v>0</v>
      </c>
      <c r="AA14" s="1">
        <v>0</v>
      </c>
      <c r="AB14" s="1">
        <v>418125.49</v>
      </c>
      <c r="AC14" s="1">
        <v>374065.37</v>
      </c>
      <c r="AD14" s="1">
        <v>19776.05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284654.15999999997</v>
      </c>
      <c r="AL14" s="1">
        <v>26636.61</v>
      </c>
      <c r="AM14" s="1">
        <v>450</v>
      </c>
      <c r="AN14" s="1">
        <v>29408.61</v>
      </c>
      <c r="AO14" s="1">
        <f t="shared" si="3"/>
        <v>734990.79999999993</v>
      </c>
      <c r="AP14" s="1">
        <f t="shared" si="4"/>
        <v>1247731.2900000003</v>
      </c>
      <c r="AQ14" s="1"/>
      <c r="AR14" s="1">
        <f t="shared" si="5"/>
        <v>65162.589999999851</v>
      </c>
      <c r="AS14" s="1">
        <f t="shared" si="10"/>
        <v>247987.34999999951</v>
      </c>
      <c r="AT14" s="1"/>
      <c r="AU14" s="1">
        <f t="shared" si="11"/>
        <v>7750155.9900000002</v>
      </c>
      <c r="AV14" s="1">
        <v>7750155.9900000002</v>
      </c>
      <c r="AX14" s="2">
        <f t="shared" si="12"/>
        <v>-94615</v>
      </c>
      <c r="AY14" s="2">
        <f t="shared" si="13"/>
        <v>65162.589999999851</v>
      </c>
      <c r="AZ14" s="2">
        <f t="shared" si="14"/>
        <v>247987.34999999951</v>
      </c>
      <c r="BA14" s="2">
        <f t="shared" si="15"/>
        <v>734990.79999999993</v>
      </c>
      <c r="BB14" s="2">
        <f t="shared" si="6"/>
        <v>1303405.9200000002</v>
      </c>
      <c r="BC14" s="2">
        <f t="shared" si="16"/>
        <v>408637.52999999997</v>
      </c>
      <c r="BD14" s="2">
        <f t="shared" si="7"/>
        <v>0</v>
      </c>
      <c r="BE14" s="2">
        <f t="shared" si="8"/>
        <v>4.0745362639427185E-10</v>
      </c>
      <c r="BF14" s="2">
        <f t="shared" si="9"/>
        <v>568415.12000000023</v>
      </c>
    </row>
    <row r="15" spans="1:58" x14ac:dyDescent="0.35">
      <c r="A15">
        <v>1828</v>
      </c>
      <c r="B15" s="1">
        <v>210000</v>
      </c>
      <c r="C15" s="1">
        <v>2805</v>
      </c>
      <c r="D15" s="1">
        <v>0</v>
      </c>
      <c r="E15" s="1">
        <f t="shared" si="0"/>
        <v>212805</v>
      </c>
      <c r="F15" s="1">
        <v>0</v>
      </c>
      <c r="G15" s="1">
        <v>0</v>
      </c>
      <c r="I15" s="1">
        <v>829535.1</v>
      </c>
      <c r="J15" s="1">
        <v>0</v>
      </c>
      <c r="K15" s="1">
        <v>221686.39999999999</v>
      </c>
      <c r="L15" s="1">
        <v>118423.89</v>
      </c>
      <c r="M15" s="1">
        <v>0</v>
      </c>
      <c r="N15" s="1">
        <v>79748.59</v>
      </c>
      <c r="O15" s="1">
        <v>17957.3</v>
      </c>
      <c r="P15" s="1">
        <v>1467</v>
      </c>
      <c r="Q15" s="1">
        <v>0</v>
      </c>
      <c r="R15" s="1">
        <v>0</v>
      </c>
      <c r="S15" s="1">
        <v>0</v>
      </c>
      <c r="T15" s="1">
        <v>0</v>
      </c>
      <c r="U15" s="1">
        <f t="shared" si="1"/>
        <v>1250860.98</v>
      </c>
      <c r="V15" s="1">
        <f t="shared" si="2"/>
        <v>1481623.28</v>
      </c>
      <c r="W15" s="1"/>
      <c r="X15" s="1"/>
      <c r="Y15" s="1">
        <v>20000</v>
      </c>
      <c r="Z15" s="1">
        <v>1000</v>
      </c>
      <c r="AA15" s="1">
        <v>0</v>
      </c>
      <c r="AB15" s="1">
        <v>424010.15</v>
      </c>
      <c r="AC15" s="1">
        <v>267003.92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224227.25</v>
      </c>
      <c r="AL15" s="1">
        <v>27042.33</v>
      </c>
      <c r="AM15" s="1">
        <v>4052.87</v>
      </c>
      <c r="AN15" s="1">
        <v>45884.62</v>
      </c>
      <c r="AO15" s="1">
        <f t="shared" si="3"/>
        <v>568210.99</v>
      </c>
      <c r="AP15" s="1">
        <f t="shared" si="4"/>
        <v>1013221.14</v>
      </c>
      <c r="AQ15" s="1"/>
      <c r="AR15" s="1">
        <f t="shared" si="5"/>
        <v>468402.14</v>
      </c>
      <c r="AS15" s="1">
        <f t="shared" si="10"/>
        <v>716389.48999999953</v>
      </c>
      <c r="AT15" s="1"/>
      <c r="AU15" s="1">
        <f t="shared" si="11"/>
        <v>7940155.9900000002</v>
      </c>
      <c r="AV15" s="1">
        <f>7353155.99+437000+150000</f>
        <v>7940155.9900000002</v>
      </c>
      <c r="AX15" s="2">
        <f t="shared" si="12"/>
        <v>190000</v>
      </c>
      <c r="AY15" s="2">
        <f t="shared" si="13"/>
        <v>468402.14</v>
      </c>
      <c r="AZ15" s="2">
        <f t="shared" si="14"/>
        <v>716389.48999999953</v>
      </c>
      <c r="BA15" s="2">
        <f t="shared" si="15"/>
        <v>569210.99</v>
      </c>
      <c r="BB15" s="2">
        <f t="shared" si="6"/>
        <v>1250860.98</v>
      </c>
      <c r="BC15" s="2">
        <f t="shared" si="16"/>
        <v>403247.85000000003</v>
      </c>
      <c r="BD15" s="2">
        <f t="shared" si="7"/>
        <v>0</v>
      </c>
      <c r="BE15" s="2">
        <f t="shared" si="8"/>
        <v>0</v>
      </c>
      <c r="BF15" s="2">
        <f t="shared" si="9"/>
        <v>681649.99</v>
      </c>
    </row>
    <row r="16" spans="1:58" x14ac:dyDescent="0.35">
      <c r="A16">
        <v>1829</v>
      </c>
      <c r="B16" s="1">
        <v>87000</v>
      </c>
      <c r="C16" s="1">
        <v>0</v>
      </c>
      <c r="D16" s="1">
        <v>0</v>
      </c>
      <c r="E16" s="1">
        <f t="shared" si="0"/>
        <v>87000</v>
      </c>
      <c r="F16" s="1">
        <v>0</v>
      </c>
      <c r="G16" s="1">
        <v>0</v>
      </c>
      <c r="I16" s="1">
        <v>815239.58</v>
      </c>
      <c r="J16" s="1">
        <v>0</v>
      </c>
      <c r="K16" s="1">
        <v>215385.18</v>
      </c>
      <c r="L16" s="1">
        <v>157160.57999999999</v>
      </c>
      <c r="M16" s="1">
        <v>0</v>
      </c>
      <c r="N16" s="1">
        <v>47780.18</v>
      </c>
      <c r="O16" s="1">
        <v>26173.8</v>
      </c>
      <c r="P16" s="1">
        <v>2679.7</v>
      </c>
      <c r="Q16" s="1">
        <v>0</v>
      </c>
      <c r="R16" s="1">
        <v>0</v>
      </c>
      <c r="S16" s="1">
        <v>0</v>
      </c>
      <c r="T16" s="1">
        <v>677.5</v>
      </c>
      <c r="U16" s="1">
        <f t="shared" si="1"/>
        <v>1238922.72</v>
      </c>
      <c r="V16" s="1">
        <f t="shared" si="2"/>
        <v>1352096.52</v>
      </c>
      <c r="W16" s="1"/>
      <c r="X16" s="1"/>
      <c r="Y16" s="1">
        <v>321142.99</v>
      </c>
      <c r="Z16" s="1">
        <v>12800</v>
      </c>
      <c r="AA16" s="1">
        <v>0</v>
      </c>
      <c r="AB16" s="1">
        <v>418842.19</v>
      </c>
      <c r="AC16" s="1">
        <v>112801.7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255729.55</v>
      </c>
      <c r="AL16" s="1">
        <v>27054.41</v>
      </c>
      <c r="AM16" s="1">
        <v>5116.63</v>
      </c>
      <c r="AN16" s="1">
        <v>20988.720000000001</v>
      </c>
      <c r="AO16" s="1">
        <f t="shared" si="3"/>
        <v>421691.01</v>
      </c>
      <c r="AP16" s="1">
        <f t="shared" si="4"/>
        <v>1174476.1899999997</v>
      </c>
      <c r="AQ16" s="1"/>
      <c r="AR16" s="1">
        <f t="shared" si="5"/>
        <v>177620.33000000031</v>
      </c>
      <c r="AS16" s="1">
        <f t="shared" si="10"/>
        <v>894009.81999999983</v>
      </c>
      <c r="AT16" s="1"/>
      <c r="AU16" s="1">
        <f t="shared" si="11"/>
        <v>7706013</v>
      </c>
      <c r="AV16" s="1">
        <f>7032013+437000+237000</f>
        <v>7706013</v>
      </c>
      <c r="AX16" s="2">
        <f t="shared" si="12"/>
        <v>-234142.99000000022</v>
      </c>
      <c r="AY16" s="2">
        <f t="shared" si="13"/>
        <v>177620.33000000031</v>
      </c>
      <c r="AZ16" s="2">
        <f t="shared" si="14"/>
        <v>894009.81999999983</v>
      </c>
      <c r="BA16" s="2">
        <f t="shared" si="15"/>
        <v>434491.00999999995</v>
      </c>
      <c r="BB16" s="2">
        <f t="shared" si="6"/>
        <v>1238922.72</v>
      </c>
      <c r="BC16" s="2">
        <f t="shared" si="16"/>
        <v>392668.39</v>
      </c>
      <c r="BD16" s="2">
        <f t="shared" si="7"/>
        <v>0</v>
      </c>
      <c r="BE16" s="2">
        <f t="shared" si="8"/>
        <v>-5.8207660913467407E-10</v>
      </c>
      <c r="BF16" s="2">
        <f t="shared" si="9"/>
        <v>804431.71</v>
      </c>
    </row>
    <row r="17" spans="1:58" x14ac:dyDescent="0.35">
      <c r="A17">
        <v>1830</v>
      </c>
      <c r="B17" s="1">
        <v>150000</v>
      </c>
      <c r="C17" s="1">
        <v>15694</v>
      </c>
      <c r="D17" s="1">
        <v>0</v>
      </c>
      <c r="E17" s="1">
        <f t="shared" si="0"/>
        <v>165694</v>
      </c>
      <c r="F17" s="1">
        <v>0</v>
      </c>
      <c r="G17" s="1">
        <v>0</v>
      </c>
      <c r="I17" s="1">
        <v>1042699.24</v>
      </c>
      <c r="J17" s="1">
        <v>0</v>
      </c>
      <c r="K17" s="1">
        <v>179681.02</v>
      </c>
      <c r="L17" s="1">
        <v>163421.54999999999</v>
      </c>
      <c r="M17" s="1">
        <v>0</v>
      </c>
      <c r="N17" s="1">
        <v>34420.43</v>
      </c>
      <c r="O17" s="1">
        <v>39600.17</v>
      </c>
      <c r="P17" s="1">
        <v>2464.1799999999998</v>
      </c>
      <c r="Q17" s="1">
        <v>38068.29</v>
      </c>
      <c r="R17" s="1">
        <v>0</v>
      </c>
      <c r="S17" s="1">
        <v>0</v>
      </c>
      <c r="T17" s="1">
        <v>1074.69</v>
      </c>
      <c r="U17" s="1">
        <f t="shared" si="1"/>
        <v>1461829.4</v>
      </c>
      <c r="V17" s="1">
        <f t="shared" si="2"/>
        <v>1667123.5699999998</v>
      </c>
      <c r="W17" s="1"/>
      <c r="X17" s="1"/>
      <c r="Y17" s="1">
        <v>30977.14</v>
      </c>
      <c r="Z17" s="1">
        <v>0</v>
      </c>
      <c r="AA17" s="1">
        <v>0</v>
      </c>
      <c r="AB17" s="1">
        <v>416520.99</v>
      </c>
      <c r="AC17" s="1">
        <v>97641.36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229850.66</v>
      </c>
      <c r="AL17" s="1">
        <v>24991.03</v>
      </c>
      <c r="AM17" s="1">
        <v>4377.88</v>
      </c>
      <c r="AN17" s="1">
        <v>15198.38</v>
      </c>
      <c r="AO17" s="1">
        <f t="shared" si="3"/>
        <v>372059.31000000006</v>
      </c>
      <c r="AP17" s="1">
        <f t="shared" si="4"/>
        <v>819557.44000000006</v>
      </c>
      <c r="AQ17" s="1"/>
      <c r="AR17" s="1">
        <f t="shared" si="5"/>
        <v>847566.12999999977</v>
      </c>
      <c r="AS17" s="1">
        <f t="shared" si="10"/>
        <v>1741575.9499999997</v>
      </c>
      <c r="AT17" s="1"/>
      <c r="AU17" s="1">
        <f t="shared" si="11"/>
        <v>7825035.8600000003</v>
      </c>
      <c r="AV17" s="1">
        <v>7825035</v>
      </c>
      <c r="AX17" s="2">
        <f t="shared" si="12"/>
        <v>119022.86000000034</v>
      </c>
      <c r="AY17" s="2">
        <f t="shared" si="13"/>
        <v>847566.12999999989</v>
      </c>
      <c r="AZ17" s="2">
        <f t="shared" si="14"/>
        <v>1741575.9499999997</v>
      </c>
      <c r="BA17" s="2">
        <f t="shared" si="15"/>
        <v>372059.31</v>
      </c>
      <c r="BB17" s="2">
        <f t="shared" si="6"/>
        <v>1423761.1099999999</v>
      </c>
      <c r="BC17" s="2">
        <f t="shared" si="16"/>
        <v>361226.82</v>
      </c>
      <c r="BD17" s="2">
        <f t="shared" si="7"/>
        <v>-38068.29</v>
      </c>
      <c r="BE17" s="2">
        <f t="shared" si="8"/>
        <v>0</v>
      </c>
      <c r="BF17" s="2">
        <f t="shared" si="9"/>
        <v>1051701.7999999998</v>
      </c>
    </row>
    <row r="18" spans="1:58" x14ac:dyDescent="0.35">
      <c r="A18">
        <v>1831</v>
      </c>
      <c r="B18" s="1">
        <v>240263</v>
      </c>
      <c r="C18" s="1">
        <v>21179.71</v>
      </c>
      <c r="D18" s="1">
        <v>0</v>
      </c>
      <c r="E18" s="1">
        <f t="shared" si="0"/>
        <v>261442.71</v>
      </c>
      <c r="F18" s="1">
        <v>0</v>
      </c>
      <c r="G18" s="1">
        <v>0</v>
      </c>
      <c r="I18" s="1">
        <v>748561.29</v>
      </c>
      <c r="J18" s="1">
        <v>0</v>
      </c>
      <c r="K18" s="1">
        <v>155901.66</v>
      </c>
      <c r="L18" s="1">
        <v>98703.91</v>
      </c>
      <c r="M18" s="1">
        <v>0</v>
      </c>
      <c r="N18" s="1">
        <v>11870.75</v>
      </c>
      <c r="O18" s="1">
        <v>46256.2</v>
      </c>
      <c r="P18" s="1">
        <v>2707.33</v>
      </c>
      <c r="Q18" s="1">
        <v>21440.74</v>
      </c>
      <c r="R18" s="1">
        <v>0</v>
      </c>
      <c r="S18" s="1">
        <v>0</v>
      </c>
      <c r="T18" s="1">
        <v>13360.58</v>
      </c>
      <c r="U18" s="1">
        <f t="shared" si="1"/>
        <v>1052546.2600000002</v>
      </c>
      <c r="V18" s="1">
        <f t="shared" si="2"/>
        <v>1360245.17</v>
      </c>
      <c r="W18" s="1"/>
      <c r="X18" s="1"/>
      <c r="Y18" s="1">
        <v>9653</v>
      </c>
      <c r="Z18" s="1">
        <v>0</v>
      </c>
      <c r="AA18" s="1">
        <v>0</v>
      </c>
      <c r="AB18" s="1">
        <v>318564.74</v>
      </c>
      <c r="AC18" s="1">
        <v>171019.25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168715.53</v>
      </c>
      <c r="AL18" s="1">
        <v>25662.63</v>
      </c>
      <c r="AM18" s="1">
        <v>2023.5</v>
      </c>
      <c r="AN18" s="1">
        <v>16640.490000000002</v>
      </c>
      <c r="AO18" s="1">
        <f t="shared" si="3"/>
        <v>384061.4</v>
      </c>
      <c r="AP18" s="9">
        <f t="shared" si="4"/>
        <v>712279.14</v>
      </c>
      <c r="AQ18" s="9"/>
      <c r="AR18" s="1">
        <f t="shared" si="5"/>
        <v>647966.02999999991</v>
      </c>
      <c r="AS18" s="1">
        <f t="shared" si="10"/>
        <v>2389541.9799999995</v>
      </c>
      <c r="AT18" s="1"/>
      <c r="AU18" s="1">
        <f t="shared" si="11"/>
        <v>8055645.8600000003</v>
      </c>
      <c r="AV18" s="1">
        <v>8055645.8600000003</v>
      </c>
      <c r="AX18" s="2">
        <f t="shared" si="12"/>
        <v>230610</v>
      </c>
      <c r="AY18" s="2">
        <f t="shared" si="13"/>
        <v>647966.0299999998</v>
      </c>
      <c r="AZ18" s="2">
        <f t="shared" si="14"/>
        <v>2389541.9799999995</v>
      </c>
      <c r="BA18" s="2">
        <f t="shared" si="15"/>
        <v>384061.4</v>
      </c>
      <c r="BB18" s="2">
        <f t="shared" si="6"/>
        <v>1031105.52</v>
      </c>
      <c r="BC18" s="2">
        <f t="shared" si="16"/>
        <v>251128.83</v>
      </c>
      <c r="BD18" s="2">
        <f t="shared" si="7"/>
        <v>-21440.74</v>
      </c>
      <c r="BE18" s="2">
        <f t="shared" si="8"/>
        <v>0</v>
      </c>
      <c r="BF18" s="2">
        <f t="shared" si="9"/>
        <v>647044.12</v>
      </c>
    </row>
    <row r="19" spans="1:58" x14ac:dyDescent="0.35">
      <c r="A19">
        <v>1832</v>
      </c>
      <c r="B19" s="1">
        <v>0</v>
      </c>
      <c r="C19" s="1">
        <v>0</v>
      </c>
      <c r="D19" s="1">
        <v>0</v>
      </c>
      <c r="E19" s="1">
        <f t="shared" si="0"/>
        <v>0</v>
      </c>
      <c r="F19" s="1">
        <v>0</v>
      </c>
      <c r="G19" s="1">
        <v>0</v>
      </c>
      <c r="I19" s="1">
        <v>1112194.74</v>
      </c>
      <c r="J19" s="1">
        <v>0</v>
      </c>
      <c r="K19" s="1">
        <v>250424.02</v>
      </c>
      <c r="L19" s="1">
        <v>179096.46</v>
      </c>
      <c r="M19" s="1">
        <v>0</v>
      </c>
      <c r="N19" s="1">
        <v>17915.75</v>
      </c>
      <c r="O19" s="1">
        <v>104369.15</v>
      </c>
      <c r="P19" s="1">
        <v>723</v>
      </c>
      <c r="Q19" s="1">
        <v>23177.54</v>
      </c>
      <c r="R19" s="1">
        <v>0</v>
      </c>
      <c r="S19" s="1">
        <v>0</v>
      </c>
      <c r="T19" s="1">
        <v>4419.75</v>
      </c>
      <c r="U19" s="1">
        <f t="shared" si="1"/>
        <v>1587951.26</v>
      </c>
      <c r="V19" s="1">
        <f t="shared" si="2"/>
        <v>1692320.41</v>
      </c>
      <c r="W19" s="1"/>
      <c r="X19" s="1"/>
      <c r="Y19" s="1">
        <v>0</v>
      </c>
      <c r="Z19" s="1">
        <v>0</v>
      </c>
      <c r="AA19" s="1">
        <v>0</v>
      </c>
      <c r="AB19" s="1">
        <v>432217.32</v>
      </c>
      <c r="AC19" s="1">
        <v>171307.74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350426.89</v>
      </c>
      <c r="AL19" s="1">
        <v>25760.85</v>
      </c>
      <c r="AM19" s="1">
        <v>4430.59</v>
      </c>
      <c r="AN19" s="1">
        <v>15355.64</v>
      </c>
      <c r="AO19" s="1">
        <f t="shared" si="3"/>
        <v>567281.71</v>
      </c>
      <c r="AP19" s="1">
        <f t="shared" si="4"/>
        <v>999499.03</v>
      </c>
      <c r="AQ19" s="1"/>
      <c r="AR19" s="1">
        <f t="shared" si="5"/>
        <v>692821.37999999989</v>
      </c>
      <c r="AS19" s="1">
        <f t="shared" si="10"/>
        <v>3082363.3599999994</v>
      </c>
      <c r="AT19" s="1"/>
      <c r="AU19" s="1">
        <f t="shared" si="11"/>
        <v>8055645.8600000003</v>
      </c>
      <c r="AV19" s="1">
        <v>8055645.8600000003</v>
      </c>
      <c r="AX19" s="2">
        <f t="shared" si="12"/>
        <v>0</v>
      </c>
      <c r="AY19" s="2">
        <f t="shared" si="13"/>
        <v>692821.37999999989</v>
      </c>
      <c r="AZ19" s="2">
        <f t="shared" si="14"/>
        <v>3082363.3599999994</v>
      </c>
      <c r="BA19" s="2">
        <f t="shared" si="15"/>
        <v>567281.71</v>
      </c>
      <c r="BB19" s="2">
        <f t="shared" si="6"/>
        <v>1564773.72</v>
      </c>
      <c r="BC19" s="2">
        <f t="shared" si="16"/>
        <v>327848.17000000004</v>
      </c>
      <c r="BD19" s="2">
        <f t="shared" si="7"/>
        <v>-23177.54</v>
      </c>
      <c r="BE19" s="2">
        <f t="shared" si="8"/>
        <v>0</v>
      </c>
      <c r="BF19" s="2">
        <f t="shared" si="9"/>
        <v>997492.01</v>
      </c>
    </row>
    <row r="20" spans="1:58" x14ac:dyDescent="0.35">
      <c r="A20">
        <v>1833</v>
      </c>
      <c r="B20" s="1">
        <v>95737</v>
      </c>
      <c r="C20" s="1">
        <v>32663.81</v>
      </c>
      <c r="D20" s="1">
        <v>0</v>
      </c>
      <c r="E20" s="1">
        <f t="shared" si="0"/>
        <v>128400.81</v>
      </c>
      <c r="F20" s="1">
        <v>0</v>
      </c>
      <c r="G20" s="1">
        <v>0</v>
      </c>
      <c r="I20" s="9">
        <v>1388055.53</v>
      </c>
      <c r="J20" s="1">
        <v>0</v>
      </c>
      <c r="K20" s="1">
        <v>181014.23</v>
      </c>
      <c r="L20" s="1">
        <v>227860.05</v>
      </c>
      <c r="M20" s="1">
        <v>0</v>
      </c>
      <c r="N20" s="1">
        <v>3445.26</v>
      </c>
      <c r="O20" s="1">
        <v>140319.9</v>
      </c>
      <c r="P20" s="1">
        <v>325</v>
      </c>
      <c r="Q20" s="1">
        <v>63295.54</v>
      </c>
      <c r="R20" s="1">
        <v>0</v>
      </c>
      <c r="S20" s="1">
        <v>0</v>
      </c>
      <c r="T20" s="1">
        <v>16387.95</v>
      </c>
      <c r="U20" s="1">
        <f t="shared" si="1"/>
        <v>1880383.56</v>
      </c>
      <c r="V20" s="9">
        <f t="shared" si="2"/>
        <v>2149104.27</v>
      </c>
      <c r="W20" s="9">
        <f>+V20-2049104.27</f>
        <v>100000</v>
      </c>
      <c r="X20" s="1"/>
      <c r="Y20" s="1">
        <v>1478376.57</v>
      </c>
      <c r="Z20" s="1">
        <v>87933.46</v>
      </c>
      <c r="AA20" s="1">
        <v>0</v>
      </c>
      <c r="AB20" s="1">
        <v>411196.34</v>
      </c>
      <c r="AC20" s="1">
        <v>144741.99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377783.4</v>
      </c>
      <c r="AL20" s="1">
        <v>27875.08</v>
      </c>
      <c r="AM20" s="1">
        <v>4602.25</v>
      </c>
      <c r="AN20" s="1">
        <v>42271.93</v>
      </c>
      <c r="AO20" s="1">
        <f t="shared" si="3"/>
        <v>597274.65</v>
      </c>
      <c r="AP20" s="1">
        <f t="shared" si="4"/>
        <v>2574781.0200000005</v>
      </c>
      <c r="AQ20" s="1"/>
      <c r="AR20" s="1">
        <f t="shared" si="5"/>
        <v>-425676.75000000047</v>
      </c>
      <c r="AS20" s="1">
        <f t="shared" si="10"/>
        <v>2656686.6099999989</v>
      </c>
      <c r="AT20" s="1"/>
      <c r="AU20" s="1">
        <f t="shared" si="11"/>
        <v>6673006.29</v>
      </c>
      <c r="AV20" s="1">
        <v>6673006.29</v>
      </c>
      <c r="AX20" s="2">
        <f t="shared" si="12"/>
        <v>-1382639.5700000003</v>
      </c>
      <c r="AY20" s="2">
        <f t="shared" si="13"/>
        <v>-425676.75000000047</v>
      </c>
      <c r="AZ20" s="2">
        <f t="shared" si="14"/>
        <v>2656686.6099999989</v>
      </c>
      <c r="BA20" s="2">
        <f t="shared" si="15"/>
        <v>685208.1100000001</v>
      </c>
      <c r="BB20" s="2">
        <f t="shared" si="6"/>
        <v>1817088.02</v>
      </c>
      <c r="BC20" s="2">
        <f t="shared" si="16"/>
        <v>238212.63000000006</v>
      </c>
      <c r="BD20" s="2">
        <f t="shared" si="7"/>
        <v>-63295.54</v>
      </c>
      <c r="BE20" s="2">
        <f t="shared" si="8"/>
        <v>0</v>
      </c>
      <c r="BF20" s="2">
        <f t="shared" si="9"/>
        <v>1131879.9099999999</v>
      </c>
    </row>
    <row r="21" spans="1:58" x14ac:dyDescent="0.35">
      <c r="A21">
        <v>1834</v>
      </c>
      <c r="B21" s="1">
        <v>950000</v>
      </c>
      <c r="C21" s="1">
        <v>66255</v>
      </c>
      <c r="D21" s="1">
        <v>0</v>
      </c>
      <c r="E21" s="1">
        <f t="shared" si="0"/>
        <v>1016255</v>
      </c>
      <c r="F21" s="1">
        <v>0</v>
      </c>
      <c r="G21" s="1">
        <v>0</v>
      </c>
      <c r="I21" s="1">
        <v>1381951.52</v>
      </c>
      <c r="J21" s="1">
        <v>0</v>
      </c>
      <c r="K21" s="1">
        <v>169337.04</v>
      </c>
      <c r="L21" s="1">
        <v>160782.9</v>
      </c>
      <c r="M21" s="1">
        <v>0</v>
      </c>
      <c r="N21" s="1">
        <v>1683.82</v>
      </c>
      <c r="O21" s="1">
        <v>121174.64</v>
      </c>
      <c r="P21" s="1">
        <v>5763.5</v>
      </c>
      <c r="Q21" s="1">
        <v>69964.960000000006</v>
      </c>
      <c r="R21" s="1">
        <v>0</v>
      </c>
      <c r="S21" s="1">
        <v>0</v>
      </c>
      <c r="T21" s="1">
        <v>3873.46</v>
      </c>
      <c r="U21" s="1">
        <f t="shared" si="1"/>
        <v>1793357.2</v>
      </c>
      <c r="V21" s="1">
        <f t="shared" si="2"/>
        <v>2930786.84</v>
      </c>
      <c r="W21" s="1"/>
      <c r="X21" s="1"/>
      <c r="Y21" s="1">
        <v>588006.61</v>
      </c>
      <c r="Z21" s="1">
        <v>50823.45</v>
      </c>
      <c r="AA21" s="1">
        <v>0</v>
      </c>
      <c r="AB21" s="1">
        <v>358810.52</v>
      </c>
      <c r="AC21" s="1">
        <v>241662.34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471106.9</v>
      </c>
      <c r="AL21" s="1">
        <v>28816.14</v>
      </c>
      <c r="AM21" s="1">
        <v>4511.25</v>
      </c>
      <c r="AN21" s="1">
        <v>13108.45</v>
      </c>
      <c r="AO21" s="1">
        <f t="shared" si="3"/>
        <v>759205.08</v>
      </c>
      <c r="AP21" s="1">
        <f t="shared" si="4"/>
        <v>1756845.6599999997</v>
      </c>
      <c r="AQ21" s="1"/>
      <c r="AR21" s="1">
        <f t="shared" si="5"/>
        <v>1173941.1800000002</v>
      </c>
      <c r="AS21" s="1">
        <f t="shared" si="10"/>
        <v>3830627.7899999991</v>
      </c>
      <c r="AT21" s="1"/>
      <c r="AU21" s="1">
        <f t="shared" si="11"/>
        <v>7034999.6799999997</v>
      </c>
      <c r="AV21" s="1">
        <v>7034999.6799999997</v>
      </c>
      <c r="AX21" s="2">
        <f t="shared" si="12"/>
        <v>361993.38999999966</v>
      </c>
      <c r="AY21" s="2">
        <f t="shared" si="13"/>
        <v>1173941.1800000002</v>
      </c>
      <c r="AZ21" s="2">
        <f t="shared" si="14"/>
        <v>3830627.7899999991</v>
      </c>
      <c r="BA21" s="2">
        <f t="shared" si="15"/>
        <v>810028.53</v>
      </c>
      <c r="BB21" s="2">
        <f t="shared" si="6"/>
        <v>1723392.24</v>
      </c>
      <c r="BC21" s="2">
        <f t="shared" si="16"/>
        <v>171380.88</v>
      </c>
      <c r="BD21" s="2">
        <f t="shared" si="7"/>
        <v>-69964.960000000006</v>
      </c>
      <c r="BE21" s="2">
        <f t="shared" si="8"/>
        <v>0</v>
      </c>
      <c r="BF21" s="2">
        <f t="shared" si="9"/>
        <v>913363.71</v>
      </c>
    </row>
    <row r="22" spans="1:58" x14ac:dyDescent="0.35">
      <c r="A22">
        <v>1835</v>
      </c>
      <c r="B22" s="1">
        <v>0</v>
      </c>
      <c r="C22" s="1">
        <v>0</v>
      </c>
      <c r="D22" s="1">
        <v>0</v>
      </c>
      <c r="E22" s="1">
        <f t="shared" si="0"/>
        <v>0</v>
      </c>
      <c r="F22" s="1">
        <v>0</v>
      </c>
      <c r="G22" s="1">
        <v>0</v>
      </c>
      <c r="I22" s="1">
        <v>1482963.11</v>
      </c>
      <c r="J22" s="1">
        <v>0</v>
      </c>
      <c r="K22" s="1">
        <v>211037.24</v>
      </c>
      <c r="L22" s="1">
        <v>118364.92</v>
      </c>
      <c r="M22" s="1">
        <v>0</v>
      </c>
      <c r="N22" s="1">
        <v>2897.45</v>
      </c>
      <c r="O22" s="1">
        <v>157499.54</v>
      </c>
      <c r="P22" s="1">
        <v>1632.5</v>
      </c>
      <c r="Q22" s="1">
        <v>44465.39</v>
      </c>
      <c r="R22" s="1">
        <v>0</v>
      </c>
      <c r="S22" s="1">
        <v>0</v>
      </c>
      <c r="T22" s="1">
        <v>50164.800000000003</v>
      </c>
      <c r="U22" s="1">
        <f t="shared" si="1"/>
        <v>1911525.41</v>
      </c>
      <c r="V22" s="1">
        <f t="shared" si="2"/>
        <v>2069024.95</v>
      </c>
      <c r="W22" s="1"/>
      <c r="X22" s="1"/>
      <c r="Y22" s="1">
        <v>706943.49</v>
      </c>
      <c r="Z22" s="1">
        <v>75217.09</v>
      </c>
      <c r="AA22" s="1">
        <v>0</v>
      </c>
      <c r="AB22" s="1">
        <v>365823.4</v>
      </c>
      <c r="AC22" s="1">
        <v>703902.28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441367.54</v>
      </c>
      <c r="AL22" s="1">
        <v>30610.07</v>
      </c>
      <c r="AM22" s="1">
        <v>4781.3</v>
      </c>
      <c r="AN22" s="1">
        <v>13456.72</v>
      </c>
      <c r="AO22" s="1">
        <f t="shared" si="3"/>
        <v>1194117.9100000001</v>
      </c>
      <c r="AP22" s="1">
        <f t="shared" si="4"/>
        <v>2342101.8899999997</v>
      </c>
      <c r="AQ22" s="1"/>
      <c r="AR22" s="1">
        <f t="shared" si="5"/>
        <v>-273076.93999999971</v>
      </c>
      <c r="AS22" s="1">
        <f t="shared" si="10"/>
        <v>3557550.8499999996</v>
      </c>
      <c r="AT22" s="1"/>
      <c r="AU22" s="1">
        <f t="shared" si="11"/>
        <v>6328056.1899999995</v>
      </c>
      <c r="AV22" s="1">
        <v>6328056.1900000004</v>
      </c>
      <c r="AX22" s="2">
        <f t="shared" si="12"/>
        <v>-706943.49000000022</v>
      </c>
      <c r="AY22" s="2">
        <f t="shared" si="13"/>
        <v>-273076.93999999948</v>
      </c>
      <c r="AZ22" s="2">
        <f t="shared" si="14"/>
        <v>3557550.8499999996</v>
      </c>
      <c r="BA22" s="2">
        <f t="shared" si="15"/>
        <v>1269335</v>
      </c>
      <c r="BB22" s="2">
        <f t="shared" si="6"/>
        <v>1867060.02</v>
      </c>
      <c r="BC22" s="2">
        <f t="shared" si="16"/>
        <v>208323.86000000002</v>
      </c>
      <c r="BD22" s="2">
        <f t="shared" si="7"/>
        <v>-44465.39</v>
      </c>
      <c r="BE22" s="2">
        <f t="shared" si="8"/>
        <v>-6.9849193096160889E-10</v>
      </c>
      <c r="BF22" s="2">
        <f t="shared" si="9"/>
        <v>597725.02</v>
      </c>
    </row>
    <row r="23" spans="1:58" x14ac:dyDescent="0.35">
      <c r="A23">
        <v>1836</v>
      </c>
      <c r="B23" s="1">
        <v>650000</v>
      </c>
      <c r="C23" s="1">
        <v>13000</v>
      </c>
      <c r="D23" s="1">
        <v>0</v>
      </c>
      <c r="E23" s="1">
        <f t="shared" si="0"/>
        <v>663000</v>
      </c>
      <c r="F23" s="1">
        <v>0</v>
      </c>
      <c r="G23" s="1">
        <v>0</v>
      </c>
      <c r="I23" s="1">
        <v>1595619.48</v>
      </c>
      <c r="J23" s="1">
        <v>0</v>
      </c>
      <c r="K23" s="1">
        <v>187194.2</v>
      </c>
      <c r="L23" s="1">
        <v>64763.46</v>
      </c>
      <c r="M23" s="1">
        <v>0</v>
      </c>
      <c r="N23" s="1">
        <v>33671.800000000003</v>
      </c>
      <c r="O23" s="1">
        <v>179177.98</v>
      </c>
      <c r="P23" s="1">
        <v>2836</v>
      </c>
      <c r="Q23" s="1">
        <v>94507.65</v>
      </c>
      <c r="R23" s="1">
        <v>0</v>
      </c>
      <c r="S23" s="1">
        <v>0</v>
      </c>
      <c r="T23" s="1">
        <v>5230.83</v>
      </c>
      <c r="U23" s="1">
        <f t="shared" si="1"/>
        <v>1983823.42</v>
      </c>
      <c r="V23" s="1">
        <f t="shared" si="2"/>
        <v>2826001.4</v>
      </c>
      <c r="W23" s="1"/>
      <c r="X23" s="1"/>
      <c r="Y23" s="1">
        <v>651249.46</v>
      </c>
      <c r="Z23" s="1">
        <v>40529.14</v>
      </c>
      <c r="AA23" s="1">
        <v>0</v>
      </c>
      <c r="AB23" s="1">
        <v>328744.86</v>
      </c>
      <c r="AC23" s="1">
        <v>977550.82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392444.22</v>
      </c>
      <c r="AL23" s="1">
        <v>31064.42</v>
      </c>
      <c r="AM23" s="1">
        <v>4211.2</v>
      </c>
      <c r="AN23" s="1">
        <v>26576.6</v>
      </c>
      <c r="AO23" s="1">
        <f t="shared" si="3"/>
        <v>1431847.26</v>
      </c>
      <c r="AP23" s="1">
        <f t="shared" si="4"/>
        <v>2452370.7200000002</v>
      </c>
      <c r="AQ23" s="1"/>
      <c r="AR23" s="1">
        <f t="shared" si="5"/>
        <v>373630.6799999997</v>
      </c>
      <c r="AS23" s="1">
        <f t="shared" si="10"/>
        <v>3931181.5299999993</v>
      </c>
      <c r="AT23" s="1"/>
      <c r="AU23" s="1">
        <f t="shared" si="11"/>
        <v>6326806.7299999995</v>
      </c>
      <c r="AV23" s="1">
        <v>6326806.7300000004</v>
      </c>
      <c r="AX23" s="2">
        <f t="shared" si="12"/>
        <v>-1249.4599999999627</v>
      </c>
      <c r="AY23" s="2">
        <f t="shared" si="13"/>
        <v>373630.6799999997</v>
      </c>
      <c r="AZ23" s="2">
        <f t="shared" si="14"/>
        <v>3931181.5299999993</v>
      </c>
      <c r="BA23" s="2">
        <f t="shared" si="15"/>
        <v>1472376.4</v>
      </c>
      <c r="BB23" s="2">
        <f t="shared" si="6"/>
        <v>1889315.77</v>
      </c>
      <c r="BC23" s="2">
        <f t="shared" si="16"/>
        <v>136566.87999999998</v>
      </c>
      <c r="BD23" s="2">
        <f t="shared" si="7"/>
        <v>-94507.65</v>
      </c>
      <c r="BE23" s="2">
        <f t="shared" si="8"/>
        <v>4.6566128730773926E-10</v>
      </c>
      <c r="BF23" s="2">
        <f t="shared" si="9"/>
        <v>416939.37000000011</v>
      </c>
    </row>
    <row r="24" spans="1:58" x14ac:dyDescent="0.35">
      <c r="A24">
        <v>1837</v>
      </c>
      <c r="B24" s="1">
        <v>810920.22</v>
      </c>
      <c r="C24" s="1">
        <v>21374.62</v>
      </c>
      <c r="D24" s="1">
        <v>0</v>
      </c>
      <c r="E24" s="1">
        <f t="shared" si="0"/>
        <v>832294.84</v>
      </c>
      <c r="F24" s="1">
        <v>0</v>
      </c>
      <c r="G24" s="1">
        <v>0</v>
      </c>
      <c r="I24" s="1">
        <v>1324429.27</v>
      </c>
      <c r="J24" s="1">
        <v>0</v>
      </c>
      <c r="K24" s="1">
        <v>0</v>
      </c>
      <c r="L24" s="1">
        <v>0</v>
      </c>
      <c r="M24" s="1">
        <v>0</v>
      </c>
      <c r="N24" s="1">
        <v>11116.05</v>
      </c>
      <c r="O24" s="1">
        <v>181580.02</v>
      </c>
      <c r="P24" s="1">
        <v>1180.5</v>
      </c>
      <c r="Q24" s="1">
        <v>217385.59</v>
      </c>
      <c r="R24" s="1">
        <v>0</v>
      </c>
      <c r="S24" s="1">
        <v>0</v>
      </c>
      <c r="T24" s="1">
        <v>410.05</v>
      </c>
      <c r="U24" s="1">
        <f t="shared" si="1"/>
        <v>1554521.4600000002</v>
      </c>
      <c r="V24" s="1">
        <f t="shared" si="2"/>
        <v>2568396.3199999994</v>
      </c>
      <c r="W24" s="1"/>
      <c r="X24" s="1"/>
      <c r="Y24" s="1">
        <v>971644.93</v>
      </c>
      <c r="Z24" s="1">
        <v>55268.01</v>
      </c>
      <c r="AA24" s="1">
        <v>0</v>
      </c>
      <c r="AB24" s="1">
        <v>309108.82</v>
      </c>
      <c r="AC24" s="1">
        <v>1206663.6299999999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486412.41</v>
      </c>
      <c r="AL24" s="1">
        <v>35804.980000000003</v>
      </c>
      <c r="AM24" s="1">
        <v>5671.71</v>
      </c>
      <c r="AN24" s="1">
        <v>19187.47</v>
      </c>
      <c r="AO24" s="1">
        <f t="shared" si="3"/>
        <v>1753740.1999999997</v>
      </c>
      <c r="AP24" s="1">
        <f t="shared" si="4"/>
        <v>3089761.96</v>
      </c>
      <c r="AQ24" s="1"/>
      <c r="AR24" s="1">
        <f t="shared" si="5"/>
        <v>-521365.6400000006</v>
      </c>
      <c r="AS24" s="1">
        <f t="shared" si="10"/>
        <v>3409815.8899999987</v>
      </c>
      <c r="AT24" s="1"/>
      <c r="AU24" s="1">
        <f t="shared" si="11"/>
        <v>6166082.0199999996</v>
      </c>
      <c r="AV24" s="1">
        <v>6166082.0199999996</v>
      </c>
      <c r="AX24" s="2">
        <f t="shared" si="12"/>
        <v>-160724.70999999996</v>
      </c>
      <c r="AY24" s="2">
        <f t="shared" si="13"/>
        <v>-521365.6400000006</v>
      </c>
      <c r="AZ24" s="2">
        <f t="shared" si="14"/>
        <v>3409815.8899999987</v>
      </c>
      <c r="BA24" s="2">
        <f t="shared" si="15"/>
        <v>1809008.21</v>
      </c>
      <c r="BB24" s="2">
        <f t="shared" si="6"/>
        <v>1337135.8700000001</v>
      </c>
      <c r="BC24" s="2">
        <f t="shared" si="16"/>
        <v>106154.18000000002</v>
      </c>
      <c r="BD24" s="2">
        <f t="shared" si="7"/>
        <v>-217385.59</v>
      </c>
      <c r="BE24" s="2">
        <f t="shared" si="8"/>
        <v>6.9849193096160889E-10</v>
      </c>
      <c r="BF24" s="2">
        <f t="shared" si="9"/>
        <v>-471872.33999999985</v>
      </c>
    </row>
    <row r="25" spans="1:58" x14ac:dyDescent="0.35">
      <c r="A25">
        <v>1838</v>
      </c>
      <c r="B25" s="1">
        <v>3493061.54</v>
      </c>
      <c r="C25" s="1">
        <v>13391.79</v>
      </c>
      <c r="D25" s="1">
        <v>0</v>
      </c>
      <c r="E25" s="1">
        <f t="shared" si="0"/>
        <v>3506453.33</v>
      </c>
      <c r="F25" s="1">
        <v>0</v>
      </c>
      <c r="G25" s="1">
        <v>0</v>
      </c>
      <c r="I25" s="1">
        <v>1464105.16</v>
      </c>
      <c r="J25" s="1">
        <v>0</v>
      </c>
      <c r="K25" s="1">
        <v>0</v>
      </c>
      <c r="L25" s="1">
        <v>0</v>
      </c>
      <c r="M25" s="1">
        <v>0</v>
      </c>
      <c r="N25" s="1">
        <v>4297.9799999999996</v>
      </c>
      <c r="O25" s="1">
        <v>276529.42</v>
      </c>
      <c r="P25" s="1">
        <v>1170</v>
      </c>
      <c r="Q25" s="1">
        <v>245891.95</v>
      </c>
      <c r="R25" s="1">
        <v>0</v>
      </c>
      <c r="S25" s="1">
        <v>0</v>
      </c>
      <c r="T25" s="1">
        <v>1309.81</v>
      </c>
      <c r="U25" s="1">
        <f t="shared" si="1"/>
        <v>1716774.9</v>
      </c>
      <c r="V25" s="1">
        <f t="shared" si="2"/>
        <v>5499757.6500000004</v>
      </c>
      <c r="W25" s="1"/>
      <c r="X25" s="1"/>
      <c r="Y25" s="1">
        <v>351023.15</v>
      </c>
      <c r="Z25" s="1">
        <v>13988.02</v>
      </c>
      <c r="AA25" s="1">
        <v>0</v>
      </c>
      <c r="AB25" s="1">
        <v>446798.88</v>
      </c>
      <c r="AC25" s="1">
        <v>1640070.19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476995.22</v>
      </c>
      <c r="AL25" s="1">
        <v>30116.62</v>
      </c>
      <c r="AM25" s="1">
        <v>6350.32</v>
      </c>
      <c r="AN25" s="1">
        <v>24346.639999999999</v>
      </c>
      <c r="AO25" s="1">
        <f t="shared" si="3"/>
        <v>2177878.9900000002</v>
      </c>
      <c r="AP25" s="1">
        <f t="shared" si="4"/>
        <v>2989689.04</v>
      </c>
      <c r="AQ25" s="1"/>
      <c r="AR25" s="1">
        <f t="shared" si="5"/>
        <v>2510068.6100000003</v>
      </c>
      <c r="AS25" s="1">
        <f t="shared" si="10"/>
        <v>5919884.4999999991</v>
      </c>
      <c r="AT25" s="1"/>
      <c r="AU25" s="1">
        <f t="shared" si="11"/>
        <v>9308120.4099999983</v>
      </c>
      <c r="AV25" s="1">
        <v>9308120.4100000001</v>
      </c>
      <c r="AX25" s="2">
        <f t="shared" si="12"/>
        <v>3142038.3899999987</v>
      </c>
      <c r="AY25" s="2">
        <f t="shared" si="13"/>
        <v>2510068.6100000003</v>
      </c>
      <c r="AZ25" s="2">
        <f t="shared" si="14"/>
        <v>5919884.4999999991</v>
      </c>
      <c r="BA25" s="2">
        <f t="shared" si="15"/>
        <v>2191867.0099999998</v>
      </c>
      <c r="BB25" s="2">
        <f t="shared" si="6"/>
        <v>1470882.95</v>
      </c>
      <c r="BC25" s="2">
        <f t="shared" si="16"/>
        <v>156877.67000000001</v>
      </c>
      <c r="BD25" s="2">
        <f t="shared" si="7"/>
        <v>-245891.95</v>
      </c>
      <c r="BE25" s="2">
        <f t="shared" si="8"/>
        <v>-1.3969838619232178E-9</v>
      </c>
      <c r="BF25" s="2">
        <f t="shared" si="9"/>
        <v>-720984.05999999982</v>
      </c>
    </row>
    <row r="26" spans="1:58" x14ac:dyDescent="0.35">
      <c r="A26">
        <v>1839</v>
      </c>
      <c r="B26" s="1">
        <v>1545000</v>
      </c>
      <c r="C26" s="1">
        <v>500</v>
      </c>
      <c r="D26" s="1">
        <v>0</v>
      </c>
      <c r="E26" s="1">
        <f t="shared" si="0"/>
        <v>1545500</v>
      </c>
      <c r="F26" s="1">
        <v>0</v>
      </c>
      <c r="G26" s="1">
        <v>0</v>
      </c>
      <c r="I26" s="1">
        <v>1653007.56</v>
      </c>
      <c r="J26" s="1">
        <v>0</v>
      </c>
      <c r="K26" s="1">
        <v>0</v>
      </c>
      <c r="L26" s="1">
        <v>0</v>
      </c>
      <c r="M26" s="1">
        <v>0</v>
      </c>
      <c r="N26" s="1">
        <v>4360</v>
      </c>
      <c r="O26" s="1">
        <v>230323.55</v>
      </c>
      <c r="P26" s="1">
        <v>2776</v>
      </c>
      <c r="Q26" s="1">
        <v>226027.95</v>
      </c>
      <c r="R26" s="1">
        <v>46462.96</v>
      </c>
      <c r="S26" s="1">
        <v>0</v>
      </c>
      <c r="T26" s="1">
        <v>7626.26</v>
      </c>
      <c r="U26" s="1">
        <f t="shared" si="1"/>
        <v>1940260.7299999997</v>
      </c>
      <c r="V26" s="1">
        <f t="shared" si="2"/>
        <v>3716084.28</v>
      </c>
      <c r="W26" s="1"/>
      <c r="X26" s="1"/>
      <c r="Y26" s="1">
        <v>67300.33</v>
      </c>
      <c r="Z26" s="1">
        <v>0</v>
      </c>
      <c r="AA26" s="1">
        <v>0</v>
      </c>
      <c r="AB26" s="1">
        <v>494817.34</v>
      </c>
      <c r="AC26" s="1">
        <v>3655460.09</v>
      </c>
      <c r="AD26" s="1">
        <v>0</v>
      </c>
      <c r="AE26" s="1">
        <v>46462.96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381903.15</v>
      </c>
      <c r="AL26" s="1">
        <v>47262</v>
      </c>
      <c r="AM26" s="1">
        <v>6067.85</v>
      </c>
      <c r="AN26" s="1">
        <v>26355.41</v>
      </c>
      <c r="AO26" s="1">
        <f t="shared" si="3"/>
        <v>4163511.46</v>
      </c>
      <c r="AP26" s="1">
        <f>SUM(Y26:AN26)</f>
        <v>4725629.13</v>
      </c>
      <c r="AQ26" s="1"/>
      <c r="AR26" s="1">
        <f t="shared" si="5"/>
        <v>-1009544.8500000001</v>
      </c>
      <c r="AS26" s="1">
        <f t="shared" si="10"/>
        <v>4910339.6499999985</v>
      </c>
      <c r="AT26" s="1"/>
      <c r="AU26" s="1">
        <f t="shared" si="11"/>
        <v>10785820.079999998</v>
      </c>
      <c r="AV26" s="1">
        <v>10785820.08</v>
      </c>
      <c r="AX26" s="2">
        <f t="shared" si="12"/>
        <v>1477699.67</v>
      </c>
      <c r="AY26" s="2">
        <f t="shared" si="13"/>
        <v>-1009544.8500000006</v>
      </c>
      <c r="AZ26" s="2">
        <f t="shared" si="14"/>
        <v>4910339.6499999985</v>
      </c>
      <c r="BA26" s="2">
        <f t="shared" si="15"/>
        <v>4163511.46</v>
      </c>
      <c r="BB26" s="2">
        <f t="shared" si="6"/>
        <v>1714232.78</v>
      </c>
      <c r="BC26" s="2">
        <f t="shared" si="16"/>
        <v>263993.79000000004</v>
      </c>
      <c r="BD26" s="2">
        <f t="shared" si="7"/>
        <v>-226027.95</v>
      </c>
      <c r="BE26" s="2">
        <f t="shared" si="8"/>
        <v>0</v>
      </c>
      <c r="BF26" s="2">
        <f t="shared" si="9"/>
        <v>-2449278.6799999997</v>
      </c>
    </row>
    <row r="27" spans="1:58" x14ac:dyDescent="0.35">
      <c r="A27">
        <v>1840</v>
      </c>
      <c r="B27" s="1">
        <v>3478553.9</v>
      </c>
      <c r="C27" s="1">
        <v>0</v>
      </c>
      <c r="D27" s="1">
        <v>125975</v>
      </c>
      <c r="E27" s="1">
        <f t="shared" si="0"/>
        <v>3352578.9</v>
      </c>
      <c r="F27" s="1">
        <v>0</v>
      </c>
      <c r="G27" s="1">
        <v>450000</v>
      </c>
      <c r="I27" s="1">
        <v>1602059.1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140691.20000000001</v>
      </c>
      <c r="P27" s="1">
        <v>4768.18</v>
      </c>
      <c r="Q27" s="1">
        <v>342273.28000000003</v>
      </c>
      <c r="R27" s="1">
        <v>243634.7</v>
      </c>
      <c r="S27" s="1">
        <v>1250</v>
      </c>
      <c r="T27" s="1">
        <v>6616.05</v>
      </c>
      <c r="U27" s="1">
        <f t="shared" si="1"/>
        <v>2200601.3099999996</v>
      </c>
      <c r="V27" s="1">
        <f t="shared" si="2"/>
        <v>6143871.4100000001</v>
      </c>
      <c r="W27" s="1"/>
      <c r="X27" s="1"/>
      <c r="Y27" s="1">
        <v>137726.22</v>
      </c>
      <c r="Z27" s="1">
        <v>413.69</v>
      </c>
      <c r="AA27" s="1">
        <v>0</v>
      </c>
      <c r="AB27" s="1">
        <v>658921.57999999996</v>
      </c>
      <c r="AC27" s="1">
        <v>5005515.75</v>
      </c>
      <c r="AD27" s="1">
        <v>0</v>
      </c>
      <c r="AE27" s="1">
        <v>243634.7</v>
      </c>
      <c r="AF27" s="1">
        <v>0</v>
      </c>
      <c r="AG27" s="1">
        <v>0</v>
      </c>
      <c r="AH27" s="1">
        <v>1250</v>
      </c>
      <c r="AI27" s="1">
        <v>0</v>
      </c>
      <c r="AJ27" s="1">
        <v>0</v>
      </c>
      <c r="AK27" s="1">
        <v>389247.94</v>
      </c>
      <c r="AL27" s="1">
        <v>47972.05</v>
      </c>
      <c r="AM27" s="1">
        <v>5719.28</v>
      </c>
      <c r="AN27" s="1">
        <v>112018.93</v>
      </c>
      <c r="AO27" s="1">
        <f t="shared" si="3"/>
        <v>5805358.6500000004</v>
      </c>
      <c r="AP27" s="1">
        <f t="shared" si="4"/>
        <v>6602420.1400000006</v>
      </c>
      <c r="AQ27" s="1"/>
      <c r="AR27" s="1">
        <f t="shared" si="5"/>
        <v>-458548.73000000045</v>
      </c>
      <c r="AS27" s="1">
        <f t="shared" si="10"/>
        <v>4451790.9199999981</v>
      </c>
      <c r="AT27" s="1"/>
      <c r="AU27" s="1">
        <f t="shared" si="11"/>
        <v>14576647.759999998</v>
      </c>
      <c r="AV27" s="1">
        <v>14126647.76</v>
      </c>
      <c r="AX27" s="2">
        <f t="shared" si="12"/>
        <v>3790827.6799999997</v>
      </c>
      <c r="AY27" s="2">
        <f t="shared" si="13"/>
        <v>-458548.73000000045</v>
      </c>
      <c r="AZ27" s="2">
        <f t="shared" si="14"/>
        <v>4451790.9199999981</v>
      </c>
      <c r="BA27" s="2">
        <f t="shared" si="15"/>
        <v>5805772.3400000008</v>
      </c>
      <c r="BB27" s="2">
        <f t="shared" si="6"/>
        <v>1858328.03</v>
      </c>
      <c r="BC27" s="2">
        <f t="shared" si="16"/>
        <v>644205.37999999989</v>
      </c>
      <c r="BD27" s="2">
        <f t="shared" si="7"/>
        <v>-342273.28000000003</v>
      </c>
      <c r="BE27" s="2">
        <f t="shared" si="8"/>
        <v>0</v>
      </c>
      <c r="BF27" s="2">
        <f t="shared" si="9"/>
        <v>-3947444.3100000005</v>
      </c>
    </row>
    <row r="28" spans="1:58" x14ac:dyDescent="0.35">
      <c r="A28">
        <v>1841</v>
      </c>
      <c r="B28" s="1">
        <v>2213497.5699999998</v>
      </c>
      <c r="C28" s="1">
        <v>0</v>
      </c>
      <c r="D28" s="1">
        <v>199097.57</v>
      </c>
      <c r="E28" s="1">
        <f t="shared" si="0"/>
        <v>2014399.9999999998</v>
      </c>
      <c r="F28" s="1">
        <v>0</v>
      </c>
      <c r="G28" s="1">
        <v>1855000</v>
      </c>
      <c r="I28" s="1">
        <v>1987807.85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137866.34</v>
      </c>
      <c r="P28" s="1">
        <v>1878.86</v>
      </c>
      <c r="Q28" s="1">
        <v>0</v>
      </c>
      <c r="R28" s="1">
        <v>0</v>
      </c>
      <c r="S28" s="1">
        <v>376397.08</v>
      </c>
      <c r="T28" s="1">
        <v>3573.75</v>
      </c>
      <c r="U28" s="1">
        <f t="shared" si="1"/>
        <v>2369657.54</v>
      </c>
      <c r="V28" s="1">
        <f t="shared" si="2"/>
        <v>6376923.8799999999</v>
      </c>
      <c r="W28" s="1"/>
      <c r="X28" s="1"/>
      <c r="Y28" s="1">
        <v>33770.85</v>
      </c>
      <c r="Z28" s="1">
        <v>0</v>
      </c>
      <c r="AA28" s="1">
        <v>450000</v>
      </c>
      <c r="AB28" s="1">
        <v>801683.57</v>
      </c>
      <c r="AC28" s="1">
        <v>3647214.53</v>
      </c>
      <c r="AD28" s="1">
        <v>0</v>
      </c>
      <c r="AE28" s="1">
        <v>0</v>
      </c>
      <c r="AF28" s="1">
        <v>1837602.73</v>
      </c>
      <c r="AG28" s="1">
        <v>0</v>
      </c>
      <c r="AH28" s="1">
        <v>376397.08</v>
      </c>
      <c r="AI28" s="1">
        <v>50000</v>
      </c>
      <c r="AJ28" s="1">
        <v>0</v>
      </c>
      <c r="AK28" s="1">
        <v>380365.56</v>
      </c>
      <c r="AL28" s="1">
        <v>47956.86</v>
      </c>
      <c r="AM28" s="1">
        <v>5290.22</v>
      </c>
      <c r="AN28" s="1">
        <v>41169.300000000003</v>
      </c>
      <c r="AO28" s="1">
        <f t="shared" si="3"/>
        <v>6385996.2799999993</v>
      </c>
      <c r="AP28" s="1">
        <f t="shared" si="4"/>
        <v>7671450.6999999993</v>
      </c>
      <c r="AQ28" s="1"/>
      <c r="AR28" s="1">
        <f t="shared" si="5"/>
        <v>-1294526.8199999994</v>
      </c>
      <c r="AS28" s="1">
        <f t="shared" si="10"/>
        <v>3157264.0999999987</v>
      </c>
      <c r="AT28" s="1"/>
      <c r="AU28" s="1">
        <f t="shared" si="11"/>
        <v>18161374.479999997</v>
      </c>
      <c r="AV28" s="1">
        <v>16306374.48</v>
      </c>
      <c r="AX28" s="2">
        <f t="shared" si="12"/>
        <v>3584726.7199999988</v>
      </c>
      <c r="AY28" s="2">
        <f t="shared" si="13"/>
        <v>-1294526.8199999994</v>
      </c>
      <c r="AZ28" s="2">
        <f t="shared" si="14"/>
        <v>3157264.0999999987</v>
      </c>
      <c r="BA28" s="2">
        <f t="shared" si="15"/>
        <v>4548393.55</v>
      </c>
      <c r="BB28" s="2">
        <f t="shared" si="6"/>
        <v>2369657.54</v>
      </c>
      <c r="BC28" s="2">
        <f t="shared" si="16"/>
        <v>862914.8</v>
      </c>
      <c r="BD28" s="2">
        <f t="shared" si="7"/>
        <v>1837602.73</v>
      </c>
      <c r="BE28" s="2">
        <f t="shared" si="8"/>
        <v>0</v>
      </c>
      <c r="BF28" s="2">
        <f t="shared" si="9"/>
        <v>-2178736.0099999998</v>
      </c>
    </row>
    <row r="29" spans="1:58" x14ac:dyDescent="0.35">
      <c r="A29">
        <v>1842</v>
      </c>
      <c r="B29" s="1">
        <v>3411618</v>
      </c>
      <c r="C29" s="1">
        <v>0</v>
      </c>
      <c r="D29" s="1">
        <v>0</v>
      </c>
      <c r="E29" s="1">
        <f t="shared" si="0"/>
        <v>3411618</v>
      </c>
      <c r="F29" s="1">
        <v>0</v>
      </c>
      <c r="G29" s="1">
        <v>38967</v>
      </c>
      <c r="I29" s="1">
        <v>1795484.8</v>
      </c>
      <c r="J29" s="1">
        <v>0</v>
      </c>
      <c r="K29" s="1">
        <v>0</v>
      </c>
      <c r="L29" s="1">
        <v>0</v>
      </c>
      <c r="M29" s="1">
        <v>0</v>
      </c>
      <c r="N29" s="1">
        <v>131</v>
      </c>
      <c r="O29" s="1">
        <v>105459.83</v>
      </c>
      <c r="P29" s="1">
        <v>1979</v>
      </c>
      <c r="Q29" s="1">
        <v>0</v>
      </c>
      <c r="R29" s="1">
        <v>0</v>
      </c>
      <c r="S29" s="1">
        <v>495079.95</v>
      </c>
      <c r="T29" s="1">
        <v>4416.21</v>
      </c>
      <c r="U29" s="1">
        <f t="shared" si="1"/>
        <v>2297090.96</v>
      </c>
      <c r="V29" s="1">
        <f t="shared" si="2"/>
        <v>5853135.79</v>
      </c>
      <c r="W29" s="1"/>
      <c r="X29" s="1"/>
      <c r="Y29" s="1">
        <v>143600.03</v>
      </c>
      <c r="Z29" s="1">
        <v>187.5</v>
      </c>
      <c r="AA29" s="1">
        <v>1855000</v>
      </c>
      <c r="AB29" s="1">
        <v>1006497.81</v>
      </c>
      <c r="AC29" s="1">
        <v>2599116.81</v>
      </c>
      <c r="AD29" s="1">
        <v>0</v>
      </c>
      <c r="AE29" s="1">
        <v>0</v>
      </c>
      <c r="AF29" s="1">
        <v>200000</v>
      </c>
      <c r="AG29" s="1">
        <v>0</v>
      </c>
      <c r="AH29" s="1">
        <v>495079.95</v>
      </c>
      <c r="AI29" s="1">
        <v>0</v>
      </c>
      <c r="AJ29" s="1">
        <v>0</v>
      </c>
      <c r="AK29" s="1">
        <v>432105.71</v>
      </c>
      <c r="AL29" s="1">
        <v>47210.12</v>
      </c>
      <c r="AM29" s="1">
        <v>5152.55</v>
      </c>
      <c r="AN29" s="1">
        <v>46880.17</v>
      </c>
      <c r="AO29" s="1">
        <f t="shared" si="3"/>
        <v>3825545.31</v>
      </c>
      <c r="AP29" s="1">
        <f t="shared" si="4"/>
        <v>6830830.6500000004</v>
      </c>
      <c r="AQ29" s="1"/>
      <c r="AR29" s="1">
        <f t="shared" si="5"/>
        <v>-977694.86000000034</v>
      </c>
      <c r="AS29" s="1">
        <f t="shared" si="10"/>
        <v>2179569.2399999984</v>
      </c>
      <c r="AT29" s="1"/>
      <c r="AU29" s="1">
        <f t="shared" si="11"/>
        <v>19613359.449999996</v>
      </c>
      <c r="AV29" s="1">
        <v>19574392.449999999</v>
      </c>
      <c r="AX29" s="2">
        <f t="shared" si="12"/>
        <v>1451984.9699999988</v>
      </c>
      <c r="AY29" s="2">
        <f t="shared" si="13"/>
        <v>-977694.86000000034</v>
      </c>
      <c r="AZ29" s="2">
        <f t="shared" si="14"/>
        <v>2179569.2399999984</v>
      </c>
      <c r="BA29" s="2">
        <f t="shared" si="15"/>
        <v>3625732.81</v>
      </c>
      <c r="BB29" s="2">
        <f t="shared" si="6"/>
        <v>2297090.96</v>
      </c>
      <c r="BC29" s="2">
        <f t="shared" si="16"/>
        <v>901037.9800000001</v>
      </c>
      <c r="BD29" s="2">
        <f t="shared" si="7"/>
        <v>200000</v>
      </c>
      <c r="BE29" s="2">
        <f t="shared" si="8"/>
        <v>0</v>
      </c>
      <c r="BF29" s="2">
        <f t="shared" si="9"/>
        <v>-1328641.8500000001</v>
      </c>
    </row>
    <row r="30" spans="1:58" x14ac:dyDescent="0.35">
      <c r="A30">
        <v>1843</v>
      </c>
      <c r="B30" s="1">
        <v>1002700</v>
      </c>
      <c r="C30" s="1">
        <v>26775</v>
      </c>
      <c r="D30" s="1">
        <v>0</v>
      </c>
      <c r="E30" s="1">
        <f t="shared" si="0"/>
        <v>1029475</v>
      </c>
      <c r="F30" s="1">
        <v>0</v>
      </c>
      <c r="G30" s="1">
        <v>0</v>
      </c>
      <c r="I30" s="1">
        <v>1952587.83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103085.17</v>
      </c>
      <c r="P30" s="1">
        <v>1241.25</v>
      </c>
      <c r="Q30" s="1">
        <v>0</v>
      </c>
      <c r="R30" s="1">
        <v>0</v>
      </c>
      <c r="S30" s="1">
        <v>474765.23</v>
      </c>
      <c r="T30" s="1">
        <v>5173.97</v>
      </c>
      <c r="U30" s="1">
        <f t="shared" si="1"/>
        <v>2433768.2800000003</v>
      </c>
      <c r="V30" s="1">
        <f t="shared" si="2"/>
        <v>3566328.45</v>
      </c>
      <c r="W30" s="1"/>
      <c r="X30" s="1"/>
      <c r="Y30" s="1">
        <v>184768.27</v>
      </c>
      <c r="Z30" s="1">
        <v>0</v>
      </c>
      <c r="AA30" s="1">
        <v>20000</v>
      </c>
      <c r="AB30" s="1">
        <v>1093474.98</v>
      </c>
      <c r="AC30" s="1">
        <v>797230.84</v>
      </c>
      <c r="AD30" s="1">
        <v>0</v>
      </c>
      <c r="AE30" s="1">
        <v>0</v>
      </c>
      <c r="AF30" s="1">
        <v>0</v>
      </c>
      <c r="AG30" s="1">
        <v>0</v>
      </c>
      <c r="AH30" s="1">
        <v>474765.23</v>
      </c>
      <c r="AI30" s="1">
        <v>0</v>
      </c>
      <c r="AJ30" s="1">
        <v>0</v>
      </c>
      <c r="AK30" s="1">
        <v>378618.45</v>
      </c>
      <c r="AL30" s="1">
        <v>42558.21</v>
      </c>
      <c r="AM30" s="1">
        <v>4506.84</v>
      </c>
      <c r="AN30" s="1">
        <v>60714.63</v>
      </c>
      <c r="AO30" s="1">
        <f t="shared" si="3"/>
        <v>1758394.1999999997</v>
      </c>
      <c r="AP30" s="1">
        <f t="shared" si="4"/>
        <v>3056637.4499999997</v>
      </c>
      <c r="AQ30" s="1"/>
      <c r="AR30" s="1">
        <f t="shared" si="5"/>
        <v>509691.00000000047</v>
      </c>
      <c r="AS30" s="1">
        <f t="shared" si="10"/>
        <v>2689260.2399999988</v>
      </c>
      <c r="AT30" s="1"/>
      <c r="AU30" s="1">
        <f t="shared" si="11"/>
        <v>20411291.179999996</v>
      </c>
      <c r="AV30" s="1">
        <v>20392324.18</v>
      </c>
      <c r="AX30" s="2">
        <f t="shared" si="12"/>
        <v>797931.73000000045</v>
      </c>
      <c r="AY30" s="2">
        <f t="shared" si="13"/>
        <v>509691.00000000047</v>
      </c>
      <c r="AZ30" s="2">
        <f t="shared" si="14"/>
        <v>2689260.2399999988</v>
      </c>
      <c r="BA30" s="2">
        <f t="shared" si="15"/>
        <v>1758394.1999999997</v>
      </c>
      <c r="BB30" s="2">
        <f t="shared" si="6"/>
        <v>2433768.2800000003</v>
      </c>
      <c r="BC30" s="2">
        <f t="shared" si="16"/>
        <v>963614.80999999994</v>
      </c>
      <c r="BD30" s="2">
        <f t="shared" si="7"/>
        <v>0</v>
      </c>
      <c r="BE30" s="2">
        <f t="shared" si="8"/>
        <v>5.8207660913467407E-10</v>
      </c>
      <c r="BF30" s="2">
        <f t="shared" si="9"/>
        <v>675374.08000000054</v>
      </c>
    </row>
    <row r="31" spans="1:58" x14ac:dyDescent="0.35">
      <c r="A31">
        <v>1844</v>
      </c>
      <c r="B31" s="1">
        <v>655000</v>
      </c>
      <c r="C31" s="1">
        <v>8388.5</v>
      </c>
      <c r="D31" s="1">
        <v>0</v>
      </c>
      <c r="E31" s="1">
        <f t="shared" si="0"/>
        <v>663388.5</v>
      </c>
      <c r="F31" s="1">
        <v>0</v>
      </c>
      <c r="G31" s="1">
        <v>0</v>
      </c>
      <c r="I31" s="1">
        <v>2386277.34</v>
      </c>
      <c r="J31" s="1">
        <v>278197.56</v>
      </c>
      <c r="K31" s="1">
        <v>0</v>
      </c>
      <c r="L31" s="1">
        <v>0</v>
      </c>
      <c r="M31" s="1">
        <v>0</v>
      </c>
      <c r="N31" s="1">
        <v>0</v>
      </c>
      <c r="O31" s="1">
        <v>104314.57</v>
      </c>
      <c r="P31" s="1">
        <v>2180</v>
      </c>
      <c r="Q31" s="1">
        <v>0</v>
      </c>
      <c r="R31" s="1">
        <v>0</v>
      </c>
      <c r="S31" s="1">
        <v>461776.09</v>
      </c>
      <c r="T31" s="1">
        <v>2840.26</v>
      </c>
      <c r="U31" s="1">
        <f t="shared" si="1"/>
        <v>3131271.2499999995</v>
      </c>
      <c r="V31" s="1">
        <f t="shared" si="2"/>
        <v>3898974.3199999994</v>
      </c>
      <c r="W31" s="1"/>
      <c r="X31" s="1"/>
      <c r="Y31" s="1">
        <v>333418.59999999998</v>
      </c>
      <c r="Z31" s="1">
        <v>16810.400000000001</v>
      </c>
      <c r="AA31" s="1">
        <v>18967</v>
      </c>
      <c r="AB31" s="1">
        <v>1116726.53</v>
      </c>
      <c r="AC31" s="1">
        <v>712449.93</v>
      </c>
      <c r="AD31" s="1">
        <v>0</v>
      </c>
      <c r="AE31" s="1">
        <v>0</v>
      </c>
      <c r="AF31" s="1">
        <v>100000</v>
      </c>
      <c r="AG31" s="1">
        <v>0</v>
      </c>
      <c r="AH31" s="1">
        <v>461776.09</v>
      </c>
      <c r="AI31" s="1">
        <v>0</v>
      </c>
      <c r="AJ31" s="1">
        <v>0</v>
      </c>
      <c r="AK31" s="1">
        <v>444344.98</v>
      </c>
      <c r="AL31" s="1">
        <v>41535.839999999997</v>
      </c>
      <c r="AM31" s="1">
        <v>4724.21</v>
      </c>
      <c r="AN31" s="1">
        <v>74634.59</v>
      </c>
      <c r="AO31" s="1">
        <f t="shared" si="3"/>
        <v>1839465.6400000001</v>
      </c>
      <c r="AP31" s="1">
        <f t="shared" si="4"/>
        <v>3325388.1699999995</v>
      </c>
      <c r="AQ31" s="1"/>
      <c r="AR31" s="1">
        <f t="shared" si="5"/>
        <v>573586.14999999991</v>
      </c>
      <c r="AS31" s="1">
        <f t="shared" si="10"/>
        <v>3262846.3899999987</v>
      </c>
      <c r="AT31" s="1"/>
      <c r="AU31" s="1">
        <f t="shared" si="11"/>
        <v>20713905.579999994</v>
      </c>
      <c r="AV31" s="1">
        <v>20713905.579999998</v>
      </c>
      <c r="AX31" s="2">
        <f t="shared" si="12"/>
        <v>302614.39999999851</v>
      </c>
      <c r="AY31" s="2">
        <f t="shared" si="13"/>
        <v>573586.14999999991</v>
      </c>
      <c r="AZ31" s="2">
        <f t="shared" si="14"/>
        <v>3262846.3899999987</v>
      </c>
      <c r="BA31" s="2">
        <f t="shared" si="15"/>
        <v>1756276.04</v>
      </c>
      <c r="BB31" s="2">
        <f t="shared" si="6"/>
        <v>2853073.6899999995</v>
      </c>
      <c r="BC31" s="2">
        <f t="shared" si="16"/>
        <v>1004023.46</v>
      </c>
      <c r="BD31" s="2">
        <f t="shared" si="7"/>
        <v>-178197.56</v>
      </c>
      <c r="BE31" s="2">
        <f t="shared" si="8"/>
        <v>-1.9208528101444244E-9</v>
      </c>
      <c r="BF31" s="2">
        <f t="shared" si="9"/>
        <v>1096797.6499999994</v>
      </c>
    </row>
    <row r="32" spans="1:58" x14ac:dyDescent="0.35">
      <c r="A32">
        <v>1845</v>
      </c>
      <c r="B32" s="1">
        <v>245000</v>
      </c>
      <c r="C32" s="1">
        <v>897</v>
      </c>
      <c r="D32" s="1">
        <v>0</v>
      </c>
      <c r="E32" s="1">
        <f t="shared" si="0"/>
        <v>245897</v>
      </c>
      <c r="F32" s="1">
        <v>0</v>
      </c>
      <c r="G32" s="1">
        <v>0</v>
      </c>
      <c r="I32" s="1">
        <v>2374007.56</v>
      </c>
      <c r="J32" s="1">
        <v>2366.02</v>
      </c>
      <c r="K32" s="1">
        <v>0</v>
      </c>
      <c r="L32" s="1">
        <v>0</v>
      </c>
      <c r="M32" s="1">
        <v>0</v>
      </c>
      <c r="N32" s="1">
        <v>0</v>
      </c>
      <c r="O32" s="1">
        <v>147794.13</v>
      </c>
      <c r="P32" s="1">
        <v>1525.87</v>
      </c>
      <c r="Q32" s="1">
        <v>0</v>
      </c>
      <c r="R32" s="1">
        <v>0</v>
      </c>
      <c r="S32" s="1">
        <v>471316.37</v>
      </c>
      <c r="T32" s="1">
        <v>21934.74</v>
      </c>
      <c r="U32" s="1">
        <f t="shared" si="1"/>
        <v>2871150.5600000005</v>
      </c>
      <c r="V32" s="1">
        <f t="shared" si="2"/>
        <v>3264841.6900000004</v>
      </c>
      <c r="W32" s="1"/>
      <c r="X32" s="1"/>
      <c r="Y32" s="1">
        <v>1268884.81</v>
      </c>
      <c r="Z32" s="1">
        <v>2577.94</v>
      </c>
      <c r="AA32" s="1">
        <v>0</v>
      </c>
      <c r="AB32" s="1">
        <v>1104319.98</v>
      </c>
      <c r="AC32" s="1">
        <v>333717.68</v>
      </c>
      <c r="AD32" s="1">
        <v>0</v>
      </c>
      <c r="AE32" s="1">
        <v>0</v>
      </c>
      <c r="AF32" s="1">
        <v>0</v>
      </c>
      <c r="AG32" s="1">
        <v>0</v>
      </c>
      <c r="AH32" s="1">
        <v>471316.37</v>
      </c>
      <c r="AI32" s="1">
        <v>0</v>
      </c>
      <c r="AJ32" s="1">
        <v>0</v>
      </c>
      <c r="AK32" s="1">
        <v>526001.30000000005</v>
      </c>
      <c r="AL32" s="1">
        <v>42438.09</v>
      </c>
      <c r="AM32" s="1">
        <v>4985.6000000000004</v>
      </c>
      <c r="AN32" s="1">
        <v>60716.32</v>
      </c>
      <c r="AO32" s="1">
        <f t="shared" si="3"/>
        <v>1439175.3600000003</v>
      </c>
      <c r="AP32" s="1">
        <f t="shared" si="4"/>
        <v>3814958.09</v>
      </c>
      <c r="AQ32" s="1"/>
      <c r="AR32" s="1">
        <f t="shared" si="5"/>
        <v>-550116.39999999944</v>
      </c>
      <c r="AS32" s="1">
        <f t="shared" si="10"/>
        <v>2712729.9899999993</v>
      </c>
      <c r="AT32" s="1"/>
      <c r="AU32" s="1">
        <f t="shared" si="11"/>
        <v>19690020.769999996</v>
      </c>
      <c r="AV32" s="1">
        <v>19690020.77</v>
      </c>
      <c r="AX32" s="2">
        <f t="shared" si="12"/>
        <v>-1023884.8099999987</v>
      </c>
      <c r="AY32" s="2">
        <f t="shared" si="13"/>
        <v>-550116.39999999944</v>
      </c>
      <c r="AZ32" s="2">
        <f t="shared" si="14"/>
        <v>2712729.9899999993</v>
      </c>
      <c r="BA32" s="2">
        <f t="shared" si="15"/>
        <v>1441753.2999999998</v>
      </c>
      <c r="BB32" s="2">
        <f t="shared" si="6"/>
        <v>2868784.5400000005</v>
      </c>
      <c r="BC32" s="2">
        <f t="shared" si="16"/>
        <v>955628.85</v>
      </c>
      <c r="BD32" s="2">
        <f t="shared" si="7"/>
        <v>-2366.02</v>
      </c>
      <c r="BE32" s="2">
        <f t="shared" si="8"/>
        <v>1.5133991837501526E-9</v>
      </c>
      <c r="BF32" s="2">
        <f t="shared" si="9"/>
        <v>1427031.2400000007</v>
      </c>
    </row>
    <row r="33" spans="1:58" x14ac:dyDescent="0.35">
      <c r="A33">
        <v>1846</v>
      </c>
      <c r="B33" s="1">
        <v>300000</v>
      </c>
      <c r="C33" s="1">
        <v>14988.8</v>
      </c>
      <c r="D33" s="1">
        <v>0</v>
      </c>
      <c r="E33" s="1">
        <f t="shared" si="0"/>
        <v>314988.79999999999</v>
      </c>
      <c r="F33" s="1">
        <v>0</v>
      </c>
      <c r="G33" s="1">
        <v>0</v>
      </c>
      <c r="I33" s="1">
        <v>2788134.76</v>
      </c>
      <c r="J33" s="1">
        <v>56503.47</v>
      </c>
      <c r="K33" s="1">
        <v>0</v>
      </c>
      <c r="L33" s="1">
        <v>0</v>
      </c>
      <c r="M33" s="1">
        <v>0</v>
      </c>
      <c r="N33" s="1">
        <v>0</v>
      </c>
      <c r="O33" s="1">
        <v>101890.49</v>
      </c>
      <c r="P33" s="1">
        <v>10715</v>
      </c>
      <c r="Q33" s="1">
        <v>0</v>
      </c>
      <c r="R33" s="1">
        <v>0</v>
      </c>
      <c r="S33" s="1">
        <v>426542.97</v>
      </c>
      <c r="T33" s="1">
        <v>10508.28</v>
      </c>
      <c r="U33" s="1">
        <f t="shared" si="1"/>
        <v>3292404.48</v>
      </c>
      <c r="V33" s="1">
        <f t="shared" si="2"/>
        <v>3709283.77</v>
      </c>
      <c r="W33" s="1"/>
      <c r="X33" s="1"/>
      <c r="Y33" s="1">
        <v>2961780.64</v>
      </c>
      <c r="Z33" s="1">
        <v>0</v>
      </c>
      <c r="AA33" s="1">
        <v>0</v>
      </c>
      <c r="AB33" s="1">
        <v>976552.48</v>
      </c>
      <c r="AC33" s="1">
        <v>182367.3</v>
      </c>
      <c r="AD33" s="1">
        <v>0</v>
      </c>
      <c r="AE33" s="1">
        <v>0</v>
      </c>
      <c r="AF33" s="1">
        <v>400000</v>
      </c>
      <c r="AG33" s="1">
        <v>0</v>
      </c>
      <c r="AH33" s="1">
        <v>426542.97</v>
      </c>
      <c r="AI33" s="1">
        <v>0</v>
      </c>
      <c r="AJ33" s="1">
        <v>0</v>
      </c>
      <c r="AK33" s="1">
        <v>509510.96</v>
      </c>
      <c r="AL33" s="1">
        <v>44516.21</v>
      </c>
      <c r="AM33" s="1">
        <v>4795.93</v>
      </c>
      <c r="AN33" s="1">
        <v>77584.47</v>
      </c>
      <c r="AO33" s="1">
        <f t="shared" si="3"/>
        <v>1645317.8399999999</v>
      </c>
      <c r="AP33" s="1">
        <f t="shared" si="4"/>
        <v>5583650.959999999</v>
      </c>
      <c r="AQ33" s="1"/>
      <c r="AR33" s="1">
        <f t="shared" si="5"/>
        <v>-1874367.189999999</v>
      </c>
      <c r="AS33" s="1">
        <f t="shared" si="10"/>
        <v>838362.80000000028</v>
      </c>
      <c r="AT33" s="1"/>
      <c r="AU33" s="1">
        <f t="shared" si="11"/>
        <v>17028240.129999995</v>
      </c>
      <c r="AV33" s="1">
        <v>17028240.129999999</v>
      </c>
      <c r="AX33" s="2">
        <f t="shared" si="12"/>
        <v>-2661780.6400000006</v>
      </c>
      <c r="AY33" s="2">
        <f t="shared" si="13"/>
        <v>-1874367.189999999</v>
      </c>
      <c r="AZ33" s="2">
        <f t="shared" si="14"/>
        <v>838362.80000000028</v>
      </c>
      <c r="BA33" s="2">
        <f t="shared" si="15"/>
        <v>1245317.8400000001</v>
      </c>
      <c r="BB33" s="2">
        <f t="shared" si="6"/>
        <v>3235901.01</v>
      </c>
      <c r="BC33" s="2">
        <f t="shared" si="16"/>
        <v>859673.19</v>
      </c>
      <c r="BD33" s="2">
        <f t="shared" si="7"/>
        <v>343496.53</v>
      </c>
      <c r="BE33" s="2">
        <f t="shared" si="8"/>
        <v>-1.862645149230957E-9</v>
      </c>
      <c r="BF33" s="2">
        <f t="shared" si="9"/>
        <v>1990583.1699999997</v>
      </c>
    </row>
    <row r="34" spans="1:58" x14ac:dyDescent="0.35">
      <c r="A34">
        <v>1847</v>
      </c>
      <c r="B34" s="1">
        <v>0</v>
      </c>
      <c r="C34" s="1">
        <v>0</v>
      </c>
      <c r="D34" s="1">
        <v>0</v>
      </c>
      <c r="E34" s="1">
        <f t="shared" si="0"/>
        <v>0</v>
      </c>
      <c r="F34" s="1">
        <v>0</v>
      </c>
      <c r="G34" s="1">
        <v>0</v>
      </c>
      <c r="I34" s="1">
        <v>3460975.92</v>
      </c>
      <c r="J34" s="1">
        <v>119410.3</v>
      </c>
      <c r="K34" s="1">
        <v>0</v>
      </c>
      <c r="L34" s="1">
        <v>0</v>
      </c>
      <c r="M34" s="1">
        <v>0</v>
      </c>
      <c r="N34" s="1">
        <v>3675</v>
      </c>
      <c r="O34" s="1">
        <v>92148.51</v>
      </c>
      <c r="P34" s="1">
        <v>2734.34</v>
      </c>
      <c r="Q34" s="1">
        <v>0</v>
      </c>
      <c r="R34" s="1">
        <v>0</v>
      </c>
      <c r="S34" s="1">
        <v>65403</v>
      </c>
      <c r="T34" s="1">
        <v>3245.74</v>
      </c>
      <c r="U34" s="1">
        <f t="shared" si="1"/>
        <v>3655444.3</v>
      </c>
      <c r="V34" s="1">
        <f t="shared" si="2"/>
        <v>3747592.8099999996</v>
      </c>
      <c r="W34" s="1"/>
      <c r="X34" s="1"/>
      <c r="Y34" s="1">
        <v>284490.56</v>
      </c>
      <c r="Z34" s="1">
        <v>5131.3999999999996</v>
      </c>
      <c r="AA34" s="1">
        <v>0</v>
      </c>
      <c r="AB34" s="1">
        <v>937205.64</v>
      </c>
      <c r="AC34" s="1">
        <v>162276.57</v>
      </c>
      <c r="AD34" s="1">
        <v>0</v>
      </c>
      <c r="AE34" s="1">
        <v>0</v>
      </c>
      <c r="AF34" s="1">
        <v>200000</v>
      </c>
      <c r="AG34" s="1">
        <v>471916.66</v>
      </c>
      <c r="AH34" s="1">
        <v>65403</v>
      </c>
      <c r="AI34" s="1">
        <v>0</v>
      </c>
      <c r="AJ34" s="1">
        <v>0</v>
      </c>
      <c r="AK34" s="1">
        <v>493157.16</v>
      </c>
      <c r="AL34" s="1">
        <v>45692.9</v>
      </c>
      <c r="AM34" s="1">
        <v>5066.6499999999996</v>
      </c>
      <c r="AN34" s="1">
        <v>42648.03</v>
      </c>
      <c r="AO34" s="1">
        <f t="shared" si="3"/>
        <v>1486160.9699999997</v>
      </c>
      <c r="AP34" s="1">
        <f t="shared" si="4"/>
        <v>2712988.57</v>
      </c>
      <c r="AQ34" s="1"/>
      <c r="AR34" s="1">
        <f t="shared" si="5"/>
        <v>1034604.2399999998</v>
      </c>
      <c r="AS34" s="1">
        <f t="shared" si="10"/>
        <v>1872967.04</v>
      </c>
      <c r="AT34" s="1"/>
      <c r="AU34" s="1">
        <f t="shared" si="11"/>
        <v>16743749.569999995</v>
      </c>
      <c r="AV34" s="1">
        <v>16743749.57</v>
      </c>
      <c r="AX34" s="2">
        <f t="shared" si="12"/>
        <v>-284490.56000000052</v>
      </c>
      <c r="AY34" s="2">
        <f t="shared" si="13"/>
        <v>1034604.2399999998</v>
      </c>
      <c r="AZ34" s="2">
        <f t="shared" si="14"/>
        <v>1872967.04</v>
      </c>
      <c r="BA34" s="2">
        <f t="shared" si="15"/>
        <v>819375.71</v>
      </c>
      <c r="BB34" s="2">
        <f t="shared" si="6"/>
        <v>3536034</v>
      </c>
      <c r="BC34" s="2">
        <f t="shared" si="16"/>
        <v>845057.13</v>
      </c>
      <c r="BD34" s="2">
        <f t="shared" si="7"/>
        <v>552506.35999999987</v>
      </c>
      <c r="BE34" s="2">
        <f t="shared" si="8"/>
        <v>0</v>
      </c>
      <c r="BF34" s="2">
        <f t="shared" si="9"/>
        <v>2716658.29</v>
      </c>
    </row>
    <row r="35" spans="1:58" x14ac:dyDescent="0.35">
      <c r="A35">
        <v>1848</v>
      </c>
      <c r="B35" s="1">
        <v>1314819.3400000001</v>
      </c>
      <c r="C35" s="1">
        <v>31720.16</v>
      </c>
      <c r="D35" s="1">
        <v>0</v>
      </c>
      <c r="E35" s="1">
        <f t="shared" si="0"/>
        <v>1346539.5</v>
      </c>
      <c r="F35" s="1">
        <v>0</v>
      </c>
      <c r="G35" s="1">
        <v>0</v>
      </c>
      <c r="I35" s="1">
        <v>3153614.24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75123.83</v>
      </c>
      <c r="P35" s="1">
        <v>3354.14</v>
      </c>
      <c r="Q35" s="1">
        <v>0</v>
      </c>
      <c r="R35" s="1">
        <v>0</v>
      </c>
      <c r="S35" s="1">
        <v>88062.07</v>
      </c>
      <c r="T35" s="1">
        <v>7667.17</v>
      </c>
      <c r="U35" s="1">
        <f t="shared" si="1"/>
        <v>3252697.62</v>
      </c>
      <c r="V35" s="10">
        <f t="shared" si="2"/>
        <v>4674360.95</v>
      </c>
      <c r="W35" s="10">
        <f>+V35-4674360.95</f>
        <v>0</v>
      </c>
      <c r="X35" s="1"/>
      <c r="Y35" s="1">
        <v>1344919</v>
      </c>
      <c r="Z35" s="1">
        <v>3829.25</v>
      </c>
      <c r="AA35" s="1">
        <v>0</v>
      </c>
      <c r="AB35" s="1">
        <v>911736.05</v>
      </c>
      <c r="AC35" s="1">
        <v>864767.36</v>
      </c>
      <c r="AD35" s="1">
        <v>0</v>
      </c>
      <c r="AE35" s="1">
        <v>0</v>
      </c>
      <c r="AF35" s="1">
        <v>200000</v>
      </c>
      <c r="AG35" s="1">
        <v>350000</v>
      </c>
      <c r="AH35" s="1">
        <v>88062.07</v>
      </c>
      <c r="AI35" s="1">
        <v>0</v>
      </c>
      <c r="AJ35" s="1">
        <v>0</v>
      </c>
      <c r="AK35" s="1">
        <v>687792.91</v>
      </c>
      <c r="AL35" s="1">
        <v>51882.6</v>
      </c>
      <c r="AM35" s="1">
        <v>5885.71</v>
      </c>
      <c r="AN35" s="1">
        <v>73209.94</v>
      </c>
      <c r="AO35" s="1">
        <f t="shared" si="3"/>
        <v>2321600.59</v>
      </c>
      <c r="AP35" s="1">
        <f t="shared" si="4"/>
        <v>4582084.8899999997</v>
      </c>
      <c r="AQ35" s="1"/>
      <c r="AR35" s="1">
        <f t="shared" si="5"/>
        <v>92276.060000000522</v>
      </c>
      <c r="AS35" s="1">
        <f t="shared" si="10"/>
        <v>1965243.1000000006</v>
      </c>
      <c r="AT35" s="1"/>
      <c r="AU35" s="1">
        <f t="shared" si="11"/>
        <v>16713649.909999996</v>
      </c>
      <c r="AV35" s="1">
        <v>16713649.91</v>
      </c>
      <c r="AX35" s="2">
        <f t="shared" si="12"/>
        <v>-30099.659999998286</v>
      </c>
      <c r="AY35" s="2">
        <f t="shared" si="13"/>
        <v>92276.060000000522</v>
      </c>
      <c r="AZ35" s="2">
        <f t="shared" si="14"/>
        <v>1965243.1000000006</v>
      </c>
      <c r="BA35" s="2">
        <f t="shared" si="15"/>
        <v>1775429.8399999999</v>
      </c>
      <c r="BB35" s="2">
        <f t="shared" si="6"/>
        <v>3252697.62</v>
      </c>
      <c r="BC35" s="2">
        <f t="shared" si="16"/>
        <v>804892.06</v>
      </c>
      <c r="BD35" s="2">
        <f t="shared" si="7"/>
        <v>550000</v>
      </c>
      <c r="BE35" s="2">
        <f t="shared" si="8"/>
        <v>1.3969838619232178E-9</v>
      </c>
      <c r="BF35" s="2">
        <f t="shared" si="9"/>
        <v>1477267.7800000003</v>
      </c>
    </row>
    <row r="36" spans="1:58" x14ac:dyDescent="0.35">
      <c r="A36">
        <v>1849</v>
      </c>
      <c r="B36" s="1">
        <v>1889024.76</v>
      </c>
      <c r="C36" s="1">
        <v>221017.76</v>
      </c>
      <c r="D36" s="1">
        <v>0</v>
      </c>
      <c r="E36" s="1">
        <f t="shared" si="0"/>
        <v>2110042.52</v>
      </c>
      <c r="F36" s="1">
        <v>0</v>
      </c>
      <c r="G36" s="1">
        <v>0</v>
      </c>
      <c r="I36" s="1">
        <v>3377784.27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91030.49</v>
      </c>
      <c r="P36" s="1">
        <v>1135.9100000000001</v>
      </c>
      <c r="Q36" s="1">
        <v>0</v>
      </c>
      <c r="R36" s="1">
        <v>0</v>
      </c>
      <c r="S36" s="1">
        <v>74593.52</v>
      </c>
      <c r="T36" s="1">
        <v>390524.71</v>
      </c>
      <c r="U36" s="1">
        <f t="shared" si="1"/>
        <v>3844038.41</v>
      </c>
      <c r="V36" s="1">
        <f t="shared" si="2"/>
        <v>6045111.4199999999</v>
      </c>
      <c r="W36" s="1"/>
      <c r="X36" s="1"/>
      <c r="Y36" s="1">
        <v>2097329</v>
      </c>
      <c r="Z36" s="1">
        <v>0</v>
      </c>
      <c r="AA36" s="1">
        <v>0</v>
      </c>
      <c r="AB36" s="1">
        <v>898599.05</v>
      </c>
      <c r="AC36" s="1">
        <v>1513862.71</v>
      </c>
      <c r="AD36" s="1">
        <v>0</v>
      </c>
      <c r="AE36" s="1">
        <v>0</v>
      </c>
      <c r="AF36" s="1">
        <v>200000</v>
      </c>
      <c r="AG36" s="1">
        <v>350000</v>
      </c>
      <c r="AH36" s="1">
        <v>74593.52</v>
      </c>
      <c r="AI36" s="1">
        <v>0</v>
      </c>
      <c r="AJ36" s="1">
        <v>0</v>
      </c>
      <c r="AK36" s="1">
        <v>528371.38</v>
      </c>
      <c r="AL36" s="1">
        <v>50527.82</v>
      </c>
      <c r="AM36" s="1">
        <v>6178.8</v>
      </c>
      <c r="AN36" s="1">
        <v>82666.14</v>
      </c>
      <c r="AO36" s="1">
        <f t="shared" si="3"/>
        <v>2806200.3699999996</v>
      </c>
      <c r="AP36" s="1">
        <f t="shared" si="4"/>
        <v>5802128.419999999</v>
      </c>
      <c r="AQ36" s="1"/>
      <c r="AR36" s="1">
        <f t="shared" si="5"/>
        <v>242983.00000000093</v>
      </c>
      <c r="AS36" s="1">
        <f t="shared" si="10"/>
        <v>2208226.1000000015</v>
      </c>
      <c r="AT36" s="1"/>
      <c r="AU36" s="1">
        <f t="shared" si="11"/>
        <v>16505345.669999998</v>
      </c>
      <c r="AV36" s="1">
        <v>16505345.67</v>
      </c>
      <c r="AX36" s="2">
        <f t="shared" si="12"/>
        <v>-208304.23999999836</v>
      </c>
      <c r="AY36" s="2">
        <f t="shared" si="13"/>
        <v>242983.00000000093</v>
      </c>
      <c r="AZ36" s="2">
        <f t="shared" si="14"/>
        <v>2208226.1000000015</v>
      </c>
      <c r="BA36" s="2">
        <f t="shared" si="15"/>
        <v>2256200.37</v>
      </c>
      <c r="BB36" s="2">
        <f t="shared" si="6"/>
        <v>3844038.41</v>
      </c>
      <c r="BC36" s="2">
        <f t="shared" si="16"/>
        <v>586550.80000000005</v>
      </c>
      <c r="BD36" s="2">
        <f t="shared" si="7"/>
        <v>550000</v>
      </c>
      <c r="BE36" s="2">
        <f t="shared" si="8"/>
        <v>6.9849193096160889E-10</v>
      </c>
      <c r="BF36" s="2">
        <f t="shared" si="9"/>
        <v>1587838.04</v>
      </c>
    </row>
    <row r="37" spans="1:58" x14ac:dyDescent="0.35">
      <c r="A37">
        <v>1850</v>
      </c>
      <c r="B37" s="1">
        <v>192585.49</v>
      </c>
      <c r="C37" s="1">
        <v>10829.87</v>
      </c>
      <c r="D37" s="1">
        <v>0</v>
      </c>
      <c r="E37" s="1">
        <f t="shared" si="0"/>
        <v>203415.36</v>
      </c>
      <c r="F37" s="1">
        <v>0</v>
      </c>
      <c r="G37" s="1">
        <v>0</v>
      </c>
      <c r="I37" s="1">
        <v>3390476.63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110189.64</v>
      </c>
      <c r="P37" s="1">
        <v>2604.7399999999998</v>
      </c>
      <c r="Q37" s="1">
        <v>0</v>
      </c>
      <c r="R37" s="1">
        <v>0</v>
      </c>
      <c r="S37" s="1">
        <v>142497.72</v>
      </c>
      <c r="T37" s="1">
        <v>7690.3</v>
      </c>
      <c r="U37" s="1">
        <f t="shared" si="1"/>
        <v>3543269.39</v>
      </c>
      <c r="V37" s="1">
        <f t="shared" si="2"/>
        <v>3856874.39</v>
      </c>
      <c r="W37" s="1"/>
      <c r="X37" s="1"/>
      <c r="Y37" s="1">
        <v>482786.64</v>
      </c>
      <c r="Z37" s="1">
        <v>0</v>
      </c>
      <c r="AA37" s="1">
        <v>0</v>
      </c>
      <c r="AB37" s="1">
        <v>868873.74</v>
      </c>
      <c r="AC37" s="1">
        <v>2132379.9300000002</v>
      </c>
      <c r="AD37" s="1">
        <v>0</v>
      </c>
      <c r="AE37" s="1">
        <v>0</v>
      </c>
      <c r="AF37" s="1">
        <v>200000</v>
      </c>
      <c r="AG37" s="1">
        <v>350000</v>
      </c>
      <c r="AH37" s="1">
        <v>142497.72</v>
      </c>
      <c r="AI37" s="1">
        <v>0</v>
      </c>
      <c r="AJ37" s="1">
        <v>0</v>
      </c>
      <c r="AK37" s="1">
        <v>560845.62</v>
      </c>
      <c r="AL37" s="1">
        <v>48904.57</v>
      </c>
      <c r="AM37" s="1">
        <v>6081.93</v>
      </c>
      <c r="AN37" s="1">
        <v>245815.69</v>
      </c>
      <c r="AO37" s="1">
        <f t="shared" si="3"/>
        <v>3686525.4600000004</v>
      </c>
      <c r="AP37" s="1">
        <f t="shared" si="4"/>
        <v>5038185.8400000008</v>
      </c>
      <c r="AQ37" s="1"/>
      <c r="AR37" s="1">
        <f t="shared" si="5"/>
        <v>-1181311.4500000007</v>
      </c>
      <c r="AS37" s="1">
        <f t="shared" si="10"/>
        <v>1026914.6500000008</v>
      </c>
      <c r="AT37" s="1"/>
      <c r="AU37" s="1">
        <f t="shared" si="11"/>
        <v>16215144.519999998</v>
      </c>
      <c r="AV37" s="1">
        <v>16215144.52</v>
      </c>
      <c r="AX37" s="2">
        <f t="shared" si="12"/>
        <v>-290201.15000000037</v>
      </c>
      <c r="AY37" s="2">
        <f t="shared" si="13"/>
        <v>-1181311.4500000007</v>
      </c>
      <c r="AZ37" s="2">
        <f t="shared" si="14"/>
        <v>1026914.6500000008</v>
      </c>
      <c r="BA37" s="2">
        <f t="shared" si="15"/>
        <v>3136525.46</v>
      </c>
      <c r="BB37" s="2">
        <f t="shared" si="6"/>
        <v>3543269.39</v>
      </c>
      <c r="BC37" s="2">
        <f t="shared" si="16"/>
        <v>747854.23</v>
      </c>
      <c r="BD37" s="2">
        <f t="shared" si="7"/>
        <v>550000</v>
      </c>
      <c r="BE37" s="2">
        <f t="shared" si="8"/>
        <v>0</v>
      </c>
      <c r="BF37" s="2">
        <f t="shared" si="9"/>
        <v>406743.93000000017</v>
      </c>
    </row>
    <row r="38" spans="1:58" x14ac:dyDescent="0.35">
      <c r="A38">
        <v>1851</v>
      </c>
      <c r="B38" s="1">
        <v>1000000</v>
      </c>
      <c r="C38" s="1">
        <v>9756.75</v>
      </c>
      <c r="D38" s="1">
        <v>0</v>
      </c>
      <c r="E38" s="10">
        <v>0</v>
      </c>
      <c r="F38" s="10">
        <v>1009756.75</v>
      </c>
      <c r="G38" s="1">
        <v>0</v>
      </c>
      <c r="I38" s="9">
        <v>3702070.34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30130.07</v>
      </c>
      <c r="P38" s="1">
        <v>1929</v>
      </c>
      <c r="Q38" s="1">
        <v>0</v>
      </c>
      <c r="R38" s="1">
        <v>0</v>
      </c>
      <c r="S38" s="1">
        <v>95661.55</v>
      </c>
      <c r="T38" s="1">
        <v>17457.669999999998</v>
      </c>
      <c r="U38" s="1">
        <f t="shared" si="1"/>
        <v>3817118.5599999996</v>
      </c>
      <c r="V38" s="10">
        <f t="shared" si="2"/>
        <v>4857005.38</v>
      </c>
      <c r="W38" s="10"/>
      <c r="X38" s="1"/>
      <c r="Y38" s="1">
        <v>573609.91</v>
      </c>
      <c r="Z38" s="1">
        <v>0</v>
      </c>
      <c r="AA38" s="1">
        <v>0</v>
      </c>
      <c r="AB38" s="1">
        <v>835064.66</v>
      </c>
      <c r="AC38" s="1">
        <v>1444706.71</v>
      </c>
      <c r="AD38" s="1">
        <v>0</v>
      </c>
      <c r="AE38" s="1">
        <v>0</v>
      </c>
      <c r="AF38" s="1">
        <v>200000</v>
      </c>
      <c r="AG38" s="1">
        <v>350000</v>
      </c>
      <c r="AH38" s="1">
        <v>95661.55</v>
      </c>
      <c r="AI38" s="1">
        <v>0</v>
      </c>
      <c r="AJ38" s="1">
        <v>0</v>
      </c>
      <c r="AK38" s="1">
        <v>682598.82</v>
      </c>
      <c r="AL38" s="1">
        <v>67945.95</v>
      </c>
      <c r="AM38" s="1">
        <v>7412.5</v>
      </c>
      <c r="AN38" s="1">
        <v>61800.98</v>
      </c>
      <c r="AO38" s="1">
        <f t="shared" si="3"/>
        <v>2910126.5100000002</v>
      </c>
      <c r="AP38" s="1">
        <f t="shared" si="4"/>
        <v>4318801.08</v>
      </c>
      <c r="AQ38" s="1"/>
      <c r="AR38" s="1">
        <f t="shared" si="5"/>
        <v>538204.29999999981</v>
      </c>
      <c r="AS38" s="1">
        <f t="shared" si="10"/>
        <v>1565118.9500000007</v>
      </c>
      <c r="AT38" s="1"/>
      <c r="AU38" s="1">
        <f t="shared" si="11"/>
        <v>16641534.609999996</v>
      </c>
      <c r="AV38" s="1">
        <v>16641534.609999999</v>
      </c>
      <c r="AX38" s="2">
        <f t="shared" si="12"/>
        <v>426390.08999999799</v>
      </c>
      <c r="AY38" s="2">
        <f t="shared" si="13"/>
        <v>538204.29999999981</v>
      </c>
      <c r="AZ38" s="2">
        <f t="shared" si="14"/>
        <v>1565118.9500000007</v>
      </c>
      <c r="BA38" s="2">
        <f t="shared" si="15"/>
        <v>2360126.5099999998</v>
      </c>
      <c r="BB38" s="2">
        <f t="shared" si="6"/>
        <v>3817118.5599999996</v>
      </c>
      <c r="BC38" s="2">
        <f t="shared" si="16"/>
        <v>795177.84000000008</v>
      </c>
      <c r="BD38" s="2">
        <f t="shared" si="7"/>
        <v>550000</v>
      </c>
      <c r="BE38" s="2">
        <f t="shared" si="8"/>
        <v>-2.0954757928848267E-9</v>
      </c>
      <c r="BF38" s="2">
        <f t="shared" si="9"/>
        <v>1456992.0499999998</v>
      </c>
    </row>
    <row r="39" spans="1:58" x14ac:dyDescent="0.35">
      <c r="A39">
        <v>1852</v>
      </c>
      <c r="B39" s="1">
        <v>700000</v>
      </c>
      <c r="C39" s="1">
        <v>21519</v>
      </c>
      <c r="D39" s="1">
        <v>0</v>
      </c>
      <c r="E39" s="10">
        <v>218885</v>
      </c>
      <c r="F39" s="10">
        <v>502634</v>
      </c>
      <c r="G39" s="1">
        <v>0</v>
      </c>
      <c r="I39" s="1">
        <v>3173222.49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47626.81</v>
      </c>
      <c r="P39" s="1">
        <v>1635</v>
      </c>
      <c r="Q39" s="1">
        <v>0</v>
      </c>
      <c r="R39" s="1">
        <v>0</v>
      </c>
      <c r="S39" s="1">
        <v>167255.67999999999</v>
      </c>
      <c r="T39" s="1">
        <v>36305.339999999997</v>
      </c>
      <c r="U39" s="1">
        <f t="shared" si="1"/>
        <v>3378418.5100000002</v>
      </c>
      <c r="V39" s="10">
        <f t="shared" si="2"/>
        <v>4147564.3200000003</v>
      </c>
      <c r="W39" s="10">
        <f>+V39-4147564.32</f>
        <v>0</v>
      </c>
      <c r="X39" s="1"/>
      <c r="Y39" s="1">
        <v>340265.45</v>
      </c>
      <c r="Z39" s="1">
        <v>0</v>
      </c>
      <c r="AA39" s="1">
        <v>0</v>
      </c>
      <c r="AB39" s="1">
        <v>843795.62</v>
      </c>
      <c r="AC39" s="1">
        <v>1381254.63</v>
      </c>
      <c r="AD39" s="1">
        <v>0</v>
      </c>
      <c r="AE39" s="1">
        <v>0</v>
      </c>
      <c r="AF39" s="1">
        <v>200000</v>
      </c>
      <c r="AG39" s="1">
        <v>350000</v>
      </c>
      <c r="AH39" s="1">
        <v>167255.67999999999</v>
      </c>
      <c r="AI39" s="1">
        <v>0</v>
      </c>
      <c r="AJ39" s="1">
        <v>0</v>
      </c>
      <c r="AK39" s="1">
        <v>809451.99</v>
      </c>
      <c r="AL39" s="1">
        <v>62467.38</v>
      </c>
      <c r="AM39" s="1">
        <v>7076.93</v>
      </c>
      <c r="AN39" s="1">
        <v>78364.7</v>
      </c>
      <c r="AO39" s="1">
        <f t="shared" si="3"/>
        <v>3055871.31</v>
      </c>
      <c r="AP39" s="1">
        <f t="shared" si="4"/>
        <v>4239932.38</v>
      </c>
      <c r="AQ39" s="1"/>
      <c r="AR39" s="1">
        <f t="shared" si="5"/>
        <v>-92368.05999999959</v>
      </c>
      <c r="AS39" s="1">
        <f t="shared" si="10"/>
        <v>1472750.8900000011</v>
      </c>
      <c r="AT39" s="1"/>
      <c r="AU39" s="1">
        <f t="shared" si="11"/>
        <v>17001269.159999996</v>
      </c>
      <c r="AV39" s="1">
        <v>17001269.16</v>
      </c>
      <c r="AX39" s="2">
        <f t="shared" si="12"/>
        <v>359734.55000000075</v>
      </c>
      <c r="AY39" s="2">
        <f t="shared" si="13"/>
        <v>-92368.05999999959</v>
      </c>
      <c r="AZ39" s="2">
        <f t="shared" si="14"/>
        <v>1472750.8900000011</v>
      </c>
      <c r="BA39" s="2">
        <f t="shared" si="15"/>
        <v>2505871.3099999996</v>
      </c>
      <c r="BB39" s="2">
        <f t="shared" si="6"/>
        <v>3378418.5100000002</v>
      </c>
      <c r="BC39" s="2">
        <f t="shared" si="16"/>
        <v>774649.81</v>
      </c>
      <c r="BD39" s="2">
        <f t="shared" si="7"/>
        <v>550000</v>
      </c>
      <c r="BE39" s="2">
        <f t="shared" si="8"/>
        <v>9.3132257461547852E-10</v>
      </c>
      <c r="BF39" s="2">
        <f t="shared" si="9"/>
        <v>872547.20000000065</v>
      </c>
    </row>
    <row r="40" spans="1:58" x14ac:dyDescent="0.35">
      <c r="A40">
        <v>1853</v>
      </c>
      <c r="B40" s="1">
        <v>0</v>
      </c>
      <c r="C40" s="1">
        <v>0</v>
      </c>
      <c r="D40" s="1">
        <v>0</v>
      </c>
      <c r="E40" s="1">
        <f t="shared" si="0"/>
        <v>0</v>
      </c>
      <c r="F40" s="1">
        <v>0</v>
      </c>
      <c r="G40" s="1">
        <v>0</v>
      </c>
      <c r="I40" s="1">
        <v>3161425.14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58578.11</v>
      </c>
      <c r="P40" s="1">
        <v>765</v>
      </c>
      <c r="Q40" s="1">
        <v>0</v>
      </c>
      <c r="R40" s="1">
        <v>0</v>
      </c>
      <c r="S40" s="1">
        <v>202456.32000000001</v>
      </c>
      <c r="T40" s="1">
        <v>37122.57</v>
      </c>
      <c r="U40" s="1">
        <f t="shared" si="1"/>
        <v>3401769.03</v>
      </c>
      <c r="V40" s="1">
        <f t="shared" si="2"/>
        <v>3460347.1399999997</v>
      </c>
      <c r="W40" s="1"/>
      <c r="X40" s="1"/>
      <c r="Y40" s="1">
        <v>0</v>
      </c>
      <c r="Z40" s="1">
        <v>0</v>
      </c>
      <c r="AA40" s="1">
        <v>0</v>
      </c>
      <c r="AB40" s="1">
        <v>960790.28</v>
      </c>
      <c r="AC40" s="1">
        <v>1022005.84</v>
      </c>
      <c r="AD40" s="1">
        <v>0</v>
      </c>
      <c r="AE40" s="1">
        <v>0</v>
      </c>
      <c r="AF40" s="1">
        <v>200000</v>
      </c>
      <c r="AG40" s="1">
        <v>350000</v>
      </c>
      <c r="AH40" s="1">
        <v>202456.32000000001</v>
      </c>
      <c r="AI40" s="1">
        <v>0</v>
      </c>
      <c r="AJ40" s="1">
        <v>0</v>
      </c>
      <c r="AK40" s="1">
        <v>778847.57</v>
      </c>
      <c r="AL40" s="1">
        <v>62992.31</v>
      </c>
      <c r="AM40" s="1">
        <v>7468.11</v>
      </c>
      <c r="AN40" s="1">
        <v>60992.98</v>
      </c>
      <c r="AO40" s="1">
        <f t="shared" si="3"/>
        <v>2684763.13</v>
      </c>
      <c r="AP40" s="1">
        <f t="shared" si="4"/>
        <v>3645553.4099999997</v>
      </c>
      <c r="AQ40" s="1"/>
      <c r="AR40" s="1">
        <f t="shared" si="5"/>
        <v>-185206.27000000002</v>
      </c>
      <c r="AS40" s="1">
        <f t="shared" si="10"/>
        <v>1287544.620000001</v>
      </c>
      <c r="AT40" s="1"/>
      <c r="AU40" s="1">
        <f t="shared" si="11"/>
        <v>17001269.159999996</v>
      </c>
      <c r="AV40" s="1">
        <v>17001269.16</v>
      </c>
      <c r="AX40" s="2">
        <f t="shared" si="12"/>
        <v>0</v>
      </c>
      <c r="AY40" s="2">
        <f t="shared" si="13"/>
        <v>-185206.27000000002</v>
      </c>
      <c r="AZ40" s="2">
        <f t="shared" si="14"/>
        <v>1287544.620000001</v>
      </c>
      <c r="BA40" s="2">
        <f t="shared" si="15"/>
        <v>2134763.13</v>
      </c>
      <c r="BB40" s="2">
        <f t="shared" si="6"/>
        <v>3401769.03</v>
      </c>
      <c r="BC40" s="2">
        <f t="shared" si="16"/>
        <v>902212.17</v>
      </c>
      <c r="BD40" s="2">
        <f t="shared" si="7"/>
        <v>550000</v>
      </c>
      <c r="BE40" s="2">
        <f t="shared" si="8"/>
        <v>0</v>
      </c>
      <c r="BF40" s="2">
        <f t="shared" si="9"/>
        <v>1267005.8999999999</v>
      </c>
    </row>
    <row r="41" spans="1:58" x14ac:dyDescent="0.35">
      <c r="A41">
        <v>1854</v>
      </c>
      <c r="B41" s="1">
        <v>2250000</v>
      </c>
      <c r="C41" s="1">
        <v>342952.77</v>
      </c>
      <c r="D41" s="1">
        <v>0</v>
      </c>
      <c r="E41" s="1">
        <f t="shared" si="0"/>
        <v>2592952.77</v>
      </c>
      <c r="F41" s="1">
        <v>0</v>
      </c>
      <c r="G41" s="1">
        <v>0</v>
      </c>
      <c r="I41" s="1">
        <v>2980139.97</v>
      </c>
      <c r="J41" s="1">
        <v>657145.86</v>
      </c>
      <c r="K41" s="1">
        <v>0</v>
      </c>
      <c r="L41" s="1">
        <v>0</v>
      </c>
      <c r="M41" s="1">
        <v>0</v>
      </c>
      <c r="N41" s="1">
        <v>0</v>
      </c>
      <c r="O41" s="1">
        <v>42699.83</v>
      </c>
      <c r="P41" s="1">
        <v>1975</v>
      </c>
      <c r="Q41" s="1">
        <v>0</v>
      </c>
      <c r="R41" s="1">
        <v>0</v>
      </c>
      <c r="S41" s="1">
        <v>211278.98</v>
      </c>
      <c r="T41" s="1">
        <v>30144.25</v>
      </c>
      <c r="U41" s="1">
        <f t="shared" si="1"/>
        <v>3880684.06</v>
      </c>
      <c r="V41" s="1">
        <f t="shared" si="2"/>
        <v>6516336.6600000011</v>
      </c>
      <c r="W41" s="1"/>
      <c r="X41" s="1"/>
      <c r="Y41" s="1">
        <v>479025</v>
      </c>
      <c r="Z41" s="1">
        <v>0</v>
      </c>
      <c r="AA41" s="1">
        <v>0</v>
      </c>
      <c r="AB41" s="1">
        <v>926231.51</v>
      </c>
      <c r="AC41" s="1">
        <v>1156024.74</v>
      </c>
      <c r="AD41" s="1">
        <v>0</v>
      </c>
      <c r="AE41" s="1">
        <v>0</v>
      </c>
      <c r="AF41" s="1">
        <v>200000</v>
      </c>
      <c r="AG41" s="1">
        <v>350000</v>
      </c>
      <c r="AH41" s="1">
        <v>211278.98</v>
      </c>
      <c r="AI41" s="1">
        <v>0</v>
      </c>
      <c r="AJ41" s="1">
        <v>0</v>
      </c>
      <c r="AK41" s="1">
        <v>969398.43</v>
      </c>
      <c r="AL41" s="1">
        <v>67669.77</v>
      </c>
      <c r="AM41" s="1">
        <v>7873.1</v>
      </c>
      <c r="AN41" s="1">
        <v>72371.22</v>
      </c>
      <c r="AO41" s="1">
        <f t="shared" si="3"/>
        <v>3034616.24</v>
      </c>
      <c r="AP41" s="1">
        <f t="shared" si="4"/>
        <v>4439872.7499999991</v>
      </c>
      <c r="AQ41" s="1"/>
      <c r="AR41" s="1">
        <f t="shared" si="5"/>
        <v>2076463.910000002</v>
      </c>
      <c r="AS41" s="1">
        <f t="shared" si="10"/>
        <v>3364008.5300000031</v>
      </c>
      <c r="AT41" s="1"/>
      <c r="AU41" s="1">
        <f t="shared" si="11"/>
        <v>18772244.159999996</v>
      </c>
      <c r="AV41" s="1">
        <v>18772244.16</v>
      </c>
      <c r="AX41" s="2">
        <f t="shared" si="12"/>
        <v>1770975</v>
      </c>
      <c r="AY41" s="2">
        <f t="shared" si="13"/>
        <v>2076463.910000002</v>
      </c>
      <c r="AZ41" s="2">
        <f t="shared" si="14"/>
        <v>3364008.5300000031</v>
      </c>
      <c r="BA41" s="2">
        <f t="shared" si="15"/>
        <v>2484616.2400000002</v>
      </c>
      <c r="BB41" s="2">
        <f t="shared" si="6"/>
        <v>3223538.2</v>
      </c>
      <c r="BC41" s="2">
        <f t="shared" si="16"/>
        <v>540578.91</v>
      </c>
      <c r="BD41" s="2">
        <f t="shared" si="7"/>
        <v>-107145.85999999999</v>
      </c>
      <c r="BE41" s="2">
        <f t="shared" si="8"/>
        <v>-2.0954757928848267E-9</v>
      </c>
      <c r="BF41" s="2">
        <f t="shared" si="9"/>
        <v>738921.96</v>
      </c>
    </row>
    <row r="42" spans="1:58" x14ac:dyDescent="0.35">
      <c r="A42">
        <v>1855</v>
      </c>
      <c r="B42" s="1">
        <v>3750000</v>
      </c>
      <c r="C42" s="1">
        <v>625285.05000000005</v>
      </c>
      <c r="D42" s="1">
        <v>0</v>
      </c>
      <c r="E42" s="1">
        <f t="shared" si="0"/>
        <v>4375285.05</v>
      </c>
      <c r="F42" s="1">
        <v>0</v>
      </c>
      <c r="G42" s="1">
        <v>0</v>
      </c>
      <c r="I42" s="1">
        <v>2631491.11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117343.46</v>
      </c>
      <c r="P42" s="1">
        <v>1415</v>
      </c>
      <c r="Q42" s="1">
        <v>0</v>
      </c>
      <c r="R42" s="1">
        <v>0</v>
      </c>
      <c r="S42" s="1">
        <v>130382.11</v>
      </c>
      <c r="T42" s="1">
        <v>50394.06</v>
      </c>
      <c r="U42" s="1">
        <f t="shared" si="1"/>
        <v>2813682.28</v>
      </c>
      <c r="V42" s="1">
        <f t="shared" si="2"/>
        <v>7306310.79</v>
      </c>
      <c r="W42" s="1"/>
      <c r="X42" s="1"/>
      <c r="Y42" s="1">
        <v>2240911</v>
      </c>
      <c r="Z42" s="1">
        <v>0</v>
      </c>
      <c r="AA42" s="1">
        <v>0</v>
      </c>
      <c r="AB42" s="1">
        <v>1076573.17</v>
      </c>
      <c r="AC42" s="1">
        <v>2938707.23</v>
      </c>
      <c r="AD42" s="1">
        <v>0</v>
      </c>
      <c r="AE42" s="1">
        <v>0</v>
      </c>
      <c r="AF42" s="1">
        <v>0</v>
      </c>
      <c r="AG42" s="1">
        <v>350000</v>
      </c>
      <c r="AH42" s="1">
        <v>130382.11</v>
      </c>
      <c r="AI42" s="1">
        <v>0</v>
      </c>
      <c r="AJ42" s="1">
        <v>16873.23</v>
      </c>
      <c r="AK42" s="1">
        <v>788781.41</v>
      </c>
      <c r="AL42" s="1">
        <v>71753.2</v>
      </c>
      <c r="AM42" s="1">
        <v>8093.29</v>
      </c>
      <c r="AN42" s="1">
        <v>55587.11</v>
      </c>
      <c r="AO42" s="1">
        <f t="shared" si="3"/>
        <v>4360177.58</v>
      </c>
      <c r="AP42" s="1">
        <f t="shared" si="4"/>
        <v>7677661.7500000019</v>
      </c>
      <c r="AQ42" s="1"/>
      <c r="AR42" s="1">
        <f t="shared" si="5"/>
        <v>-371350.96000000183</v>
      </c>
      <c r="AS42" s="1">
        <f t="shared" si="10"/>
        <v>2992657.5700000012</v>
      </c>
      <c r="AT42" s="1"/>
      <c r="AU42" s="1">
        <f t="shared" si="11"/>
        <v>20281333.159999996</v>
      </c>
      <c r="AV42" s="1">
        <v>20281333.16</v>
      </c>
      <c r="AX42" s="2">
        <f t="shared" si="12"/>
        <v>1509089</v>
      </c>
      <c r="AY42" s="2">
        <f t="shared" si="13"/>
        <v>-371350.96000000183</v>
      </c>
      <c r="AZ42" s="2">
        <f t="shared" si="14"/>
        <v>2992657.5700000012</v>
      </c>
      <c r="BA42" s="2">
        <f t="shared" si="15"/>
        <v>4010177.58</v>
      </c>
      <c r="BB42" s="2">
        <f t="shared" si="6"/>
        <v>2813682.28</v>
      </c>
      <c r="BC42" s="2">
        <f t="shared" si="16"/>
        <v>333944.65999999992</v>
      </c>
      <c r="BD42" s="2">
        <f t="shared" si="7"/>
        <v>350000</v>
      </c>
      <c r="BE42" s="2">
        <f t="shared" si="8"/>
        <v>0</v>
      </c>
      <c r="BF42" s="2">
        <f t="shared" si="9"/>
        <v>-1196495.3000000003</v>
      </c>
    </row>
    <row r="43" spans="1:58" x14ac:dyDescent="0.35">
      <c r="A43">
        <v>1856</v>
      </c>
      <c r="B43" s="1">
        <v>6750000</v>
      </c>
      <c r="C43" s="1">
        <v>407201.7</v>
      </c>
      <c r="D43" s="1">
        <v>0</v>
      </c>
      <c r="E43" s="1">
        <f t="shared" si="0"/>
        <v>7157201.7000000002</v>
      </c>
      <c r="F43" s="1">
        <v>0</v>
      </c>
      <c r="G43" s="1">
        <v>0</v>
      </c>
      <c r="I43" s="1">
        <v>2719925.62</v>
      </c>
      <c r="J43" s="1">
        <v>320000</v>
      </c>
      <c r="K43" s="1">
        <v>0</v>
      </c>
      <c r="L43" s="1">
        <v>0</v>
      </c>
      <c r="M43" s="1">
        <v>0</v>
      </c>
      <c r="N43" s="1">
        <v>0</v>
      </c>
      <c r="O43" s="1">
        <v>136358.45000000001</v>
      </c>
      <c r="P43" s="1">
        <v>1815</v>
      </c>
      <c r="Q43" s="1">
        <v>0</v>
      </c>
      <c r="R43" s="1">
        <v>0</v>
      </c>
      <c r="S43" s="1">
        <v>38839.410000000003</v>
      </c>
      <c r="T43" s="1">
        <v>64837.34</v>
      </c>
      <c r="U43" s="1">
        <f t="shared" si="1"/>
        <v>3145417.37</v>
      </c>
      <c r="V43" s="9">
        <f t="shared" si="2"/>
        <v>10438977.52</v>
      </c>
      <c r="W43" s="9">
        <f>+V43-10438977.53</f>
        <v>-9.9999997764825821E-3</v>
      </c>
      <c r="X43" s="1"/>
      <c r="Y43" s="1">
        <v>4489266.34</v>
      </c>
      <c r="Z43" s="1">
        <v>0</v>
      </c>
      <c r="AA43" s="1">
        <v>0</v>
      </c>
      <c r="AB43" s="1">
        <v>1194306.67</v>
      </c>
      <c r="AC43" s="1">
        <v>4011241.22</v>
      </c>
      <c r="AD43" s="1">
        <v>0</v>
      </c>
      <c r="AE43" s="1">
        <v>0</v>
      </c>
      <c r="AF43" s="1">
        <v>0</v>
      </c>
      <c r="AG43" s="1">
        <v>350000</v>
      </c>
      <c r="AH43" s="1">
        <v>38839.410000000003</v>
      </c>
      <c r="AI43" s="1">
        <v>0</v>
      </c>
      <c r="AJ43" s="1">
        <v>98393.82</v>
      </c>
      <c r="AK43" s="1">
        <v>508538.56</v>
      </c>
      <c r="AL43" s="1">
        <v>74827.149999999994</v>
      </c>
      <c r="AM43" s="1">
        <v>7796.73</v>
      </c>
      <c r="AN43" s="1">
        <v>81283.22</v>
      </c>
      <c r="AO43" s="1">
        <f t="shared" si="3"/>
        <v>5170920.1100000013</v>
      </c>
      <c r="AP43" s="1">
        <f t="shared" si="4"/>
        <v>10854493.120000003</v>
      </c>
      <c r="AQ43" s="1">
        <f>+AP43-10854493.12</f>
        <v>0</v>
      </c>
      <c r="AR43" s="1">
        <f t="shared" si="5"/>
        <v>-415515.60000000335</v>
      </c>
      <c r="AS43" s="1">
        <f t="shared" si="10"/>
        <v>2577141.9699999979</v>
      </c>
      <c r="AT43" s="1"/>
      <c r="AU43" s="1">
        <f t="shared" si="11"/>
        <v>22542066.819999997</v>
      </c>
      <c r="AV43" s="1">
        <v>22542066.82</v>
      </c>
      <c r="AX43" s="2">
        <f t="shared" si="12"/>
        <v>2260733.66</v>
      </c>
      <c r="AY43" s="2">
        <f t="shared" si="13"/>
        <v>-415515.60000000335</v>
      </c>
      <c r="AZ43" s="2">
        <f t="shared" si="14"/>
        <v>2577141.9699999979</v>
      </c>
      <c r="BA43" s="2">
        <f t="shared" si="15"/>
        <v>4820920.1100000003</v>
      </c>
      <c r="BB43" s="2">
        <f t="shared" si="6"/>
        <v>2825417.37</v>
      </c>
      <c r="BC43" s="2">
        <f t="shared" si="16"/>
        <v>650746.52</v>
      </c>
      <c r="BD43" s="2">
        <f t="shared" si="7"/>
        <v>30000</v>
      </c>
      <c r="BE43" s="2">
        <f t="shared" si="8"/>
        <v>0</v>
      </c>
      <c r="BF43" s="2">
        <f t="shared" si="9"/>
        <v>-1995502.7400000002</v>
      </c>
    </row>
    <row r="44" spans="1:58" x14ac:dyDescent="0.35">
      <c r="A44">
        <v>1857</v>
      </c>
      <c r="B44" s="1">
        <v>2750000</v>
      </c>
      <c r="C44" s="1">
        <v>323727.5</v>
      </c>
      <c r="D44" s="1">
        <v>0</v>
      </c>
      <c r="E44" s="1">
        <f t="shared" si="0"/>
        <v>3073727.5</v>
      </c>
      <c r="F44" s="1">
        <v>0</v>
      </c>
      <c r="G44" s="1">
        <v>0</v>
      </c>
      <c r="I44" s="1">
        <v>2529865.88</v>
      </c>
      <c r="J44" s="1">
        <v>262500</v>
      </c>
      <c r="K44" s="1">
        <v>0</v>
      </c>
      <c r="L44" s="1">
        <v>0</v>
      </c>
      <c r="M44" s="1">
        <v>0</v>
      </c>
      <c r="N44" s="1">
        <v>0</v>
      </c>
      <c r="O44" s="1">
        <v>149953.23000000001</v>
      </c>
      <c r="P44" s="1">
        <v>1938.5</v>
      </c>
      <c r="Q44" s="1">
        <v>0</v>
      </c>
      <c r="R44" s="1">
        <v>0</v>
      </c>
      <c r="S44" s="1">
        <v>158643.73000000001</v>
      </c>
      <c r="T44" s="1">
        <v>56471.45</v>
      </c>
      <c r="U44" s="1">
        <f t="shared" si="1"/>
        <v>3009419.56</v>
      </c>
      <c r="V44" s="1">
        <f t="shared" si="2"/>
        <v>6233100.290000001</v>
      </c>
      <c r="W44" s="1"/>
      <c r="X44" s="1"/>
      <c r="Y44" s="9">
        <f>73000+102223</f>
        <v>175223</v>
      </c>
      <c r="Z44" s="1">
        <v>267.95</v>
      </c>
      <c r="AA44" s="1">
        <v>0</v>
      </c>
      <c r="AB44" s="1">
        <v>1361736.93</v>
      </c>
      <c r="AC44" s="1">
        <v>2941936.58</v>
      </c>
      <c r="AD44" s="1">
        <v>0</v>
      </c>
      <c r="AE44" s="1">
        <v>0</v>
      </c>
      <c r="AF44" s="1">
        <v>0</v>
      </c>
      <c r="AG44" s="1">
        <v>262500</v>
      </c>
      <c r="AH44" s="1">
        <v>158643.73000000001</v>
      </c>
      <c r="AI44" s="1">
        <v>0</v>
      </c>
      <c r="AJ44" s="10">
        <v>141963.63</v>
      </c>
      <c r="AK44" s="1">
        <v>620079.30000000005</v>
      </c>
      <c r="AL44" s="1">
        <v>75267.839999999997</v>
      </c>
      <c r="AM44" s="1">
        <v>7779.16</v>
      </c>
      <c r="AN44" s="1">
        <v>83220.039999999994</v>
      </c>
      <c r="AO44" s="1">
        <f t="shared" si="3"/>
        <v>4291390.28</v>
      </c>
      <c r="AP44" s="1">
        <f t="shared" si="4"/>
        <v>5828618.1600000001</v>
      </c>
      <c r="AQ44" s="1">
        <f>+AP44-5828618.16</f>
        <v>0</v>
      </c>
      <c r="AR44" s="1">
        <f t="shared" si="5"/>
        <v>404482.13000000082</v>
      </c>
      <c r="AS44" s="1">
        <f t="shared" si="10"/>
        <v>2981624.0999999987</v>
      </c>
      <c r="AT44" s="1"/>
      <c r="AU44" s="1">
        <f t="shared" si="11"/>
        <v>25116843.819999997</v>
      </c>
      <c r="AV44" s="1">
        <v>25189781.82</v>
      </c>
      <c r="AX44" s="2">
        <f t="shared" si="12"/>
        <v>2574777</v>
      </c>
      <c r="AY44" s="2">
        <f t="shared" si="13"/>
        <v>404482.13000000082</v>
      </c>
      <c r="AZ44" s="2">
        <f t="shared" si="14"/>
        <v>2981624.0999999987</v>
      </c>
      <c r="BA44" s="2">
        <f t="shared" si="15"/>
        <v>4029158.2300000004</v>
      </c>
      <c r="BB44" s="2">
        <f t="shared" si="6"/>
        <v>2746919.56</v>
      </c>
      <c r="BC44" s="2">
        <f t="shared" si="16"/>
        <v>888056.2</v>
      </c>
      <c r="BD44" s="2">
        <f t="shared" si="7"/>
        <v>0</v>
      </c>
      <c r="BE44" s="2">
        <f t="shared" si="8"/>
        <v>0</v>
      </c>
      <c r="BF44" s="2">
        <f t="shared" si="9"/>
        <v>-1282238.6700000004</v>
      </c>
    </row>
    <row r="45" spans="1:58" x14ac:dyDescent="0.35">
      <c r="A45">
        <v>1858</v>
      </c>
      <c r="B45" s="1">
        <v>2200000</v>
      </c>
      <c r="C45" s="1">
        <v>57150.5</v>
      </c>
      <c r="D45" s="1">
        <v>0</v>
      </c>
      <c r="E45" s="1">
        <f t="shared" si="0"/>
        <v>2257150.5</v>
      </c>
      <c r="F45" s="1">
        <v>0</v>
      </c>
      <c r="G45" s="1">
        <v>300000</v>
      </c>
      <c r="I45" s="1">
        <v>2045442.68</v>
      </c>
      <c r="J45" s="1">
        <v>1240500</v>
      </c>
      <c r="K45" s="1">
        <v>0</v>
      </c>
      <c r="L45" s="1">
        <v>0</v>
      </c>
      <c r="M45" s="1">
        <v>0</v>
      </c>
      <c r="N45" s="1">
        <v>0</v>
      </c>
      <c r="O45" s="1">
        <v>107882.32</v>
      </c>
      <c r="P45" s="1">
        <v>1948.33</v>
      </c>
      <c r="Q45" s="1">
        <v>0</v>
      </c>
      <c r="R45" s="1">
        <v>0</v>
      </c>
      <c r="S45" s="1">
        <v>343231.4</v>
      </c>
      <c r="T45" s="1">
        <v>169195.76</v>
      </c>
      <c r="U45" s="1">
        <f t="shared" si="1"/>
        <v>3800318.1699999995</v>
      </c>
      <c r="V45" s="10">
        <f t="shared" si="2"/>
        <v>6465350.9900000002</v>
      </c>
      <c r="W45" s="10">
        <f>+V45-6465350.99</f>
        <v>0</v>
      </c>
      <c r="X45" s="1"/>
      <c r="Y45" s="1">
        <v>2929767.34</v>
      </c>
      <c r="Z45" s="1">
        <v>0</v>
      </c>
      <c r="AA45" s="1">
        <v>100000</v>
      </c>
      <c r="AB45" s="1">
        <v>1406120.8</v>
      </c>
      <c r="AC45" s="1">
        <v>1942658.43</v>
      </c>
      <c r="AD45" s="1">
        <v>0</v>
      </c>
      <c r="AE45" s="1">
        <v>0</v>
      </c>
      <c r="AF45" s="1">
        <v>0</v>
      </c>
      <c r="AG45" s="1">
        <v>0</v>
      </c>
      <c r="AH45" s="1">
        <v>343231.4</v>
      </c>
      <c r="AI45" s="1">
        <v>0</v>
      </c>
      <c r="AJ45" s="10">
        <v>150464.70000000001</v>
      </c>
      <c r="AK45" s="1">
        <v>740477.21</v>
      </c>
      <c r="AL45" s="1">
        <v>80279.28</v>
      </c>
      <c r="AM45" s="1">
        <v>8096.78</v>
      </c>
      <c r="AN45" s="1">
        <v>118033.32</v>
      </c>
      <c r="AO45" s="1">
        <f t="shared" si="3"/>
        <v>3383241.1199999996</v>
      </c>
      <c r="AP45" s="1">
        <f t="shared" si="4"/>
        <v>7819129.2600000007</v>
      </c>
      <c r="AQ45" s="1">
        <f>+AP45-7819129.26</f>
        <v>0</v>
      </c>
      <c r="AR45" s="1">
        <f t="shared" si="5"/>
        <v>-1353778.2700000005</v>
      </c>
      <c r="AS45" s="1">
        <f t="shared" si="10"/>
        <v>1627845.8299999982</v>
      </c>
      <c r="AT45" s="1"/>
      <c r="AU45" s="1">
        <f t="shared" si="11"/>
        <v>24587076.479999997</v>
      </c>
      <c r="AV45" s="1">
        <v>24460014.48</v>
      </c>
      <c r="AX45" s="2">
        <f t="shared" si="12"/>
        <v>-529767.33999999985</v>
      </c>
      <c r="AY45" s="2">
        <f t="shared" si="13"/>
        <v>-1353778.2700000005</v>
      </c>
      <c r="AZ45" s="2">
        <f t="shared" si="14"/>
        <v>1627845.8299999982</v>
      </c>
      <c r="BA45" s="2">
        <f t="shared" si="15"/>
        <v>3383241.12</v>
      </c>
      <c r="BB45" s="2">
        <f t="shared" si="6"/>
        <v>2559818.17</v>
      </c>
      <c r="BC45" s="2">
        <f t="shared" si="16"/>
        <v>1241087.98</v>
      </c>
      <c r="BD45" s="2">
        <f t="shared" si="7"/>
        <v>-1240500</v>
      </c>
      <c r="BE45" s="2">
        <f t="shared" si="8"/>
        <v>0</v>
      </c>
      <c r="BF45" s="2">
        <f t="shared" si="9"/>
        <v>-823422.95000000019</v>
      </c>
    </row>
    <row r="46" spans="1:58" x14ac:dyDescent="0.35">
      <c r="A46">
        <v>1859</v>
      </c>
      <c r="B46" s="1">
        <v>0</v>
      </c>
      <c r="C46" s="1">
        <v>0</v>
      </c>
      <c r="D46" s="1">
        <v>0</v>
      </c>
      <c r="E46" s="1">
        <f t="shared" si="0"/>
        <v>0</v>
      </c>
      <c r="F46" s="1">
        <v>0</v>
      </c>
      <c r="G46" s="1">
        <v>207500</v>
      </c>
      <c r="I46" s="1">
        <v>1812280.8</v>
      </c>
      <c r="J46" s="1">
        <v>890567.66</v>
      </c>
      <c r="K46" s="1">
        <v>0</v>
      </c>
      <c r="L46" s="1">
        <v>0</v>
      </c>
      <c r="M46" s="1">
        <v>0</v>
      </c>
      <c r="N46" s="1">
        <v>0</v>
      </c>
      <c r="O46" s="1">
        <v>49462.37</v>
      </c>
      <c r="P46" s="1">
        <v>2081.67</v>
      </c>
      <c r="Q46" s="1">
        <v>0</v>
      </c>
      <c r="R46" s="1">
        <v>0</v>
      </c>
      <c r="S46" s="1">
        <v>115538.34</v>
      </c>
      <c r="T46" s="1">
        <v>173690.08</v>
      </c>
      <c r="U46" s="1">
        <f t="shared" si="1"/>
        <v>2994158.55</v>
      </c>
      <c r="V46" s="1">
        <f t="shared" si="2"/>
        <v>3251120.92</v>
      </c>
      <c r="W46" s="1"/>
      <c r="X46" s="1"/>
      <c r="Y46" s="1">
        <v>152170</v>
      </c>
      <c r="Z46" s="1">
        <v>0</v>
      </c>
      <c r="AA46" s="1">
        <v>200000</v>
      </c>
      <c r="AB46" s="1">
        <v>1358892.32</v>
      </c>
      <c r="AC46" s="1">
        <v>856159.49</v>
      </c>
      <c r="AD46" s="1">
        <v>0</v>
      </c>
      <c r="AE46" s="1">
        <v>0</v>
      </c>
      <c r="AF46" s="1">
        <v>0</v>
      </c>
      <c r="AG46" s="1">
        <v>0</v>
      </c>
      <c r="AH46" s="1">
        <v>115538.34</v>
      </c>
      <c r="AI46" s="1">
        <v>0</v>
      </c>
      <c r="AJ46" s="10">
        <v>163668.59</v>
      </c>
      <c r="AK46" s="1">
        <v>465911.92</v>
      </c>
      <c r="AL46" s="1">
        <v>63287</v>
      </c>
      <c r="AM46" s="1">
        <v>6295.93</v>
      </c>
      <c r="AN46" s="1">
        <v>177939.55</v>
      </c>
      <c r="AO46" s="1">
        <f t="shared" si="3"/>
        <v>1848800.8199999998</v>
      </c>
      <c r="AP46" s="1">
        <f t="shared" si="4"/>
        <v>3559863.1399999997</v>
      </c>
      <c r="AQ46" s="1">
        <f>+AP46-3559863.14</f>
        <v>0</v>
      </c>
      <c r="AR46" s="1">
        <f t="shared" si="5"/>
        <v>-308742.21999999974</v>
      </c>
      <c r="AS46" s="1">
        <f t="shared" si="10"/>
        <v>1319103.6099999985</v>
      </c>
      <c r="AT46" s="1"/>
      <c r="AU46" s="1">
        <f t="shared" si="11"/>
        <v>24442406.479999997</v>
      </c>
      <c r="AV46" s="1">
        <v>24307684.48</v>
      </c>
      <c r="AX46" s="2">
        <f t="shared" si="12"/>
        <v>-144670</v>
      </c>
      <c r="AY46" s="2">
        <f t="shared" si="13"/>
        <v>-308742.21999999974</v>
      </c>
      <c r="AZ46" s="2">
        <f t="shared" si="14"/>
        <v>1319103.6099999985</v>
      </c>
      <c r="BA46" s="2">
        <f t="shared" si="15"/>
        <v>1848800.82</v>
      </c>
      <c r="BB46" s="2">
        <f t="shared" si="6"/>
        <v>2103590.8899999997</v>
      </c>
      <c r="BC46" s="2">
        <f t="shared" si="16"/>
        <v>1309429.95</v>
      </c>
      <c r="BD46" s="2">
        <f t="shared" si="7"/>
        <v>-890567.66</v>
      </c>
      <c r="BE46" s="2">
        <f t="shared" si="8"/>
        <v>-5.8207660913467407E-10</v>
      </c>
      <c r="BF46" s="2">
        <f t="shared" si="9"/>
        <v>254790.0699999996</v>
      </c>
    </row>
    <row r="47" spans="1:58" x14ac:dyDescent="0.35">
      <c r="A47">
        <v>1860</v>
      </c>
      <c r="B47" s="1">
        <v>3900000</v>
      </c>
      <c r="C47" s="1">
        <v>146329</v>
      </c>
      <c r="D47" s="1">
        <v>0</v>
      </c>
      <c r="E47" s="1">
        <f t="shared" si="0"/>
        <v>4046329</v>
      </c>
      <c r="F47" s="1">
        <v>0</v>
      </c>
      <c r="G47" s="1">
        <v>555000</v>
      </c>
      <c r="I47" s="1">
        <v>2379534.04</v>
      </c>
      <c r="J47" s="1">
        <v>869515.7</v>
      </c>
      <c r="K47" s="1">
        <v>0</v>
      </c>
      <c r="L47" s="1">
        <v>0</v>
      </c>
      <c r="M47" s="1">
        <v>0</v>
      </c>
      <c r="N47" s="1">
        <v>0</v>
      </c>
      <c r="O47" s="1">
        <v>48410.49</v>
      </c>
      <c r="P47" s="1">
        <v>1767.24</v>
      </c>
      <c r="Q47" s="1">
        <v>0</v>
      </c>
      <c r="R47" s="1">
        <v>0</v>
      </c>
      <c r="S47" s="1">
        <v>125169.27</v>
      </c>
      <c r="T47" s="1">
        <v>130672.39</v>
      </c>
      <c r="U47" s="1">
        <f t="shared" si="1"/>
        <v>3506658.6400000006</v>
      </c>
      <c r="V47" s="1">
        <f t="shared" si="2"/>
        <v>8156398.1299999999</v>
      </c>
      <c r="W47" s="1"/>
      <c r="X47" s="1"/>
      <c r="Y47" s="9">
        <v>1100523</v>
      </c>
      <c r="Z47" s="1">
        <v>0</v>
      </c>
      <c r="AA47" s="1">
        <v>562500</v>
      </c>
      <c r="AB47" s="1">
        <v>1472745.78</v>
      </c>
      <c r="AC47" s="1">
        <v>3264976.23</v>
      </c>
      <c r="AD47" s="1">
        <v>0</v>
      </c>
      <c r="AE47" s="1">
        <v>0</v>
      </c>
      <c r="AF47" s="1">
        <v>0</v>
      </c>
      <c r="AG47" s="1">
        <v>0</v>
      </c>
      <c r="AH47" s="1">
        <v>125169.27</v>
      </c>
      <c r="AI47" s="1">
        <v>0</v>
      </c>
      <c r="AJ47" s="10">
        <v>229127.67</v>
      </c>
      <c r="AK47" s="1">
        <v>149158.22</v>
      </c>
      <c r="AL47" s="1">
        <v>87021.37</v>
      </c>
      <c r="AM47" s="1">
        <v>9867.67</v>
      </c>
      <c r="AN47" s="1">
        <v>99394.79</v>
      </c>
      <c r="AO47" s="1">
        <f t="shared" si="3"/>
        <v>3964715.22</v>
      </c>
      <c r="AP47" s="1">
        <f t="shared" si="4"/>
        <v>7100483.9999999991</v>
      </c>
      <c r="AQ47" s="1">
        <f>+AP47-7100484</f>
        <v>0</v>
      </c>
      <c r="AR47" s="1">
        <f t="shared" si="5"/>
        <v>1055914.1300000008</v>
      </c>
      <c r="AS47" s="1">
        <f t="shared" si="10"/>
        <v>2375017.7399999993</v>
      </c>
      <c r="AT47" s="1"/>
      <c r="AU47" s="1">
        <f t="shared" si="11"/>
        <v>27234383.479999997</v>
      </c>
      <c r="AV47" s="1">
        <v>27064584.48</v>
      </c>
      <c r="AX47" s="2">
        <f t="shared" si="12"/>
        <v>2791977</v>
      </c>
      <c r="AY47" s="2">
        <f t="shared" si="13"/>
        <v>1055914.1300000008</v>
      </c>
      <c r="AZ47" s="2">
        <f t="shared" si="14"/>
        <v>2375017.7399999993</v>
      </c>
      <c r="BA47" s="2">
        <f t="shared" si="15"/>
        <v>3964715.22</v>
      </c>
      <c r="BB47" s="2">
        <f t="shared" si="6"/>
        <v>2637142.9400000004</v>
      </c>
      <c r="BC47" s="2">
        <f t="shared" si="16"/>
        <v>1278006.29</v>
      </c>
      <c r="BD47" s="2">
        <f t="shared" si="7"/>
        <v>-869515.7</v>
      </c>
      <c r="BE47" s="2">
        <f t="shared" si="8"/>
        <v>0</v>
      </c>
      <c r="BF47" s="2">
        <f t="shared" si="9"/>
        <v>-1327572.2799999998</v>
      </c>
    </row>
    <row r="48" spans="1:58" x14ac:dyDescent="0.35">
      <c r="B48" s="1"/>
      <c r="C48" s="1"/>
      <c r="D48" s="1"/>
      <c r="E48" s="1"/>
      <c r="F48" s="1"/>
      <c r="G48" s="1"/>
    </row>
    <row r="49" spans="1:48" x14ac:dyDescent="0.35">
      <c r="A49" t="s">
        <v>9</v>
      </c>
      <c r="B49" s="1">
        <f>SUM(B4:B47)</f>
        <v>54349551.810000002</v>
      </c>
      <c r="C49" s="1">
        <f t="shared" ref="C49:V49" si="17">SUM(C4:C47)</f>
        <v>2667772.0499999998</v>
      </c>
      <c r="D49" s="1">
        <f t="shared" si="17"/>
        <v>390061.32</v>
      </c>
      <c r="E49" s="1">
        <f t="shared" si="17"/>
        <v>55114871.789999999</v>
      </c>
      <c r="F49" s="1">
        <f t="shared" si="17"/>
        <v>1512390.75</v>
      </c>
      <c r="G49" s="1">
        <f t="shared" si="17"/>
        <v>3406467</v>
      </c>
      <c r="H49" s="1"/>
      <c r="I49" s="1">
        <f t="shared" si="17"/>
        <v>72945271.38000001</v>
      </c>
      <c r="J49" s="1">
        <f t="shared" si="17"/>
        <v>4696706.57</v>
      </c>
      <c r="K49" s="1">
        <f t="shared" si="17"/>
        <v>3592039.0500000007</v>
      </c>
      <c r="L49" s="9">
        <f t="shared" si="17"/>
        <v>2055457.9799999995</v>
      </c>
      <c r="M49" s="1">
        <f t="shared" si="17"/>
        <v>73509.990000000005</v>
      </c>
      <c r="N49" s="1">
        <f t="shared" si="17"/>
        <v>320518.14999999997</v>
      </c>
      <c r="O49" s="1">
        <f t="shared" si="17"/>
        <v>3533004.3700000006</v>
      </c>
      <c r="P49" s="1">
        <f t="shared" si="17"/>
        <v>77791.740000000005</v>
      </c>
      <c r="Q49" s="1">
        <f t="shared" si="17"/>
        <v>1386498.88</v>
      </c>
      <c r="R49" s="1">
        <f t="shared" si="17"/>
        <v>290097.66000000003</v>
      </c>
      <c r="S49" s="10">
        <f t="shared" si="17"/>
        <v>4666140.79</v>
      </c>
      <c r="T49" s="1">
        <f t="shared" si="17"/>
        <v>1343755.7699999998</v>
      </c>
      <c r="U49" s="1"/>
      <c r="V49" s="1">
        <f t="shared" si="17"/>
        <v>155014521.86999997</v>
      </c>
      <c r="W49" s="1"/>
      <c r="X49" s="1"/>
      <c r="Y49" s="1">
        <f t="shared" ref="Y49:AP49" si="18">SUM(Y4:Y47)</f>
        <v>27315168.329999998</v>
      </c>
      <c r="Z49" s="1">
        <f t="shared" si="18"/>
        <v>366777.3000000001</v>
      </c>
      <c r="AA49" s="1">
        <f t="shared" si="18"/>
        <v>3206467</v>
      </c>
      <c r="AB49" s="1">
        <f>SUM(AB4:AB47)</f>
        <v>28886239.120000008</v>
      </c>
      <c r="AC49" s="1">
        <f t="shared" si="18"/>
        <v>58371790.730000004</v>
      </c>
      <c r="AD49" s="1">
        <f t="shared" si="18"/>
        <v>53871.880000000005</v>
      </c>
      <c r="AE49" s="1">
        <f t="shared" si="18"/>
        <v>290097.66000000003</v>
      </c>
      <c r="AF49" s="1">
        <f t="shared" si="18"/>
        <v>4137602.73</v>
      </c>
      <c r="AG49" s="1">
        <f t="shared" si="18"/>
        <v>3884416.66</v>
      </c>
      <c r="AH49" s="1">
        <f t="shared" si="18"/>
        <v>4666140.79</v>
      </c>
      <c r="AI49" s="1">
        <f t="shared" si="18"/>
        <v>50000</v>
      </c>
      <c r="AJ49" s="1">
        <f t="shared" si="18"/>
        <v>800491.64</v>
      </c>
      <c r="AK49" s="1">
        <f t="shared" si="18"/>
        <v>16509874.790000003</v>
      </c>
      <c r="AL49" s="10">
        <f t="shared" si="18"/>
        <v>1613659.5199999996</v>
      </c>
      <c r="AM49" s="1">
        <f t="shared" si="18"/>
        <v>192795.27000000002</v>
      </c>
      <c r="AN49" s="1">
        <f t="shared" si="18"/>
        <v>2294110.71</v>
      </c>
      <c r="AO49" s="1"/>
      <c r="AP49" s="1">
        <f t="shared" si="18"/>
        <v>152639504.12999997</v>
      </c>
      <c r="AQ49" s="1"/>
      <c r="AR49" s="1"/>
      <c r="AS49" s="1"/>
      <c r="AT49" s="1"/>
      <c r="AU49" s="1"/>
      <c r="AV49" s="2"/>
    </row>
    <row r="50" spans="1:48" x14ac:dyDescent="0.35">
      <c r="B50" s="1"/>
      <c r="C50" s="1"/>
      <c r="D50" s="1"/>
      <c r="E50" s="1"/>
      <c r="F50" s="1"/>
      <c r="G50" s="1"/>
      <c r="I50" s="2">
        <f>+I49-72945271.39</f>
        <v>-9.9999904632568359E-3</v>
      </c>
      <c r="J50" s="2"/>
      <c r="K50" s="2"/>
      <c r="L50" s="2">
        <f>+L49-2055458.06</f>
        <v>-8.0000000540167093E-2</v>
      </c>
      <c r="M50" s="2"/>
      <c r="N50" s="2"/>
      <c r="O50" s="2"/>
      <c r="P50" s="2"/>
      <c r="Q50" s="2"/>
      <c r="R50" s="2"/>
      <c r="S50" s="2">
        <f>+S49-4666140.79</f>
        <v>0</v>
      </c>
      <c r="T50" s="2"/>
      <c r="U50" s="2"/>
      <c r="V50" s="2">
        <f>+V49-155014521.96</f>
        <v>-9.0000033378601074E-2</v>
      </c>
      <c r="W50" s="2">
        <f>SUM(W4:W47)</f>
        <v>-9.9999997182749212E-3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>
        <f>+AL49-1613659.52</f>
        <v>0</v>
      </c>
      <c r="AM50" s="2">
        <f>+AM49-192795.27</f>
        <v>0</v>
      </c>
      <c r="AN50" s="2"/>
      <c r="AO50" s="2"/>
      <c r="AP50" s="2"/>
      <c r="AQ50" s="2"/>
      <c r="AR50" s="2"/>
      <c r="AS50" s="2"/>
      <c r="AT50" s="2"/>
      <c r="AU50" s="2"/>
    </row>
    <row r="51" spans="1:48" x14ac:dyDescent="0.35">
      <c r="B51" s="13">
        <v>1</v>
      </c>
      <c r="C51" s="14">
        <f>+B51+1</f>
        <v>2</v>
      </c>
      <c r="D51" s="14">
        <f t="shared" ref="D51:V51" si="19">+C51+1</f>
        <v>3</v>
      </c>
      <c r="E51" s="14">
        <f t="shared" si="19"/>
        <v>4</v>
      </c>
      <c r="F51" s="14">
        <f t="shared" si="19"/>
        <v>5</v>
      </c>
      <c r="G51" s="14">
        <f t="shared" si="19"/>
        <v>6</v>
      </c>
      <c r="H51" s="14">
        <f t="shared" si="19"/>
        <v>7</v>
      </c>
      <c r="I51" s="14">
        <f t="shared" si="19"/>
        <v>8</v>
      </c>
      <c r="J51" s="14">
        <f t="shared" si="19"/>
        <v>9</v>
      </c>
      <c r="K51" s="14">
        <f t="shared" si="19"/>
        <v>10</v>
      </c>
      <c r="L51" s="14">
        <f t="shared" si="19"/>
        <v>11</v>
      </c>
      <c r="M51" s="14">
        <f t="shared" si="19"/>
        <v>12</v>
      </c>
      <c r="N51" s="14">
        <f t="shared" si="19"/>
        <v>13</v>
      </c>
      <c r="O51" s="14">
        <f t="shared" si="19"/>
        <v>14</v>
      </c>
      <c r="P51" s="14">
        <f t="shared" si="19"/>
        <v>15</v>
      </c>
      <c r="Q51" s="14">
        <f t="shared" si="19"/>
        <v>16</v>
      </c>
      <c r="R51" s="14">
        <f t="shared" si="19"/>
        <v>17</v>
      </c>
      <c r="S51" s="14">
        <f t="shared" si="19"/>
        <v>18</v>
      </c>
      <c r="T51" s="14">
        <f t="shared" si="19"/>
        <v>19</v>
      </c>
      <c r="U51" s="14">
        <f t="shared" si="19"/>
        <v>20</v>
      </c>
      <c r="V51" s="14">
        <f t="shared" si="19"/>
        <v>21</v>
      </c>
      <c r="Y51">
        <v>1</v>
      </c>
      <c r="Z51" s="15">
        <f>+Y51+1</f>
        <v>2</v>
      </c>
      <c r="AA51" s="15">
        <f t="shared" ref="AA51:AN51" si="20">+Z51+1</f>
        <v>3</v>
      </c>
      <c r="AB51" s="15">
        <f t="shared" si="20"/>
        <v>4</v>
      </c>
      <c r="AC51" s="15">
        <f t="shared" si="20"/>
        <v>5</v>
      </c>
      <c r="AD51" s="15">
        <f t="shared" si="20"/>
        <v>6</v>
      </c>
      <c r="AE51" s="15">
        <f t="shared" si="20"/>
        <v>7</v>
      </c>
      <c r="AF51" s="15">
        <f t="shared" si="20"/>
        <v>8</v>
      </c>
      <c r="AG51" s="15">
        <f t="shared" si="20"/>
        <v>9</v>
      </c>
      <c r="AH51" s="15">
        <f t="shared" si="20"/>
        <v>10</v>
      </c>
      <c r="AI51" s="15">
        <f t="shared" si="20"/>
        <v>11</v>
      </c>
      <c r="AJ51" s="15">
        <f t="shared" si="20"/>
        <v>12</v>
      </c>
      <c r="AK51" s="15">
        <f t="shared" si="20"/>
        <v>13</v>
      </c>
      <c r="AL51" s="15">
        <f t="shared" si="20"/>
        <v>14</v>
      </c>
      <c r="AM51" s="15">
        <f t="shared" si="20"/>
        <v>15</v>
      </c>
      <c r="AN51" s="15">
        <f t="shared" si="20"/>
        <v>16</v>
      </c>
    </row>
    <row r="52" spans="1:48" x14ac:dyDescent="0.35">
      <c r="B52" s="1"/>
      <c r="C52" s="1"/>
      <c r="D52" s="1"/>
      <c r="E52" s="1"/>
      <c r="F52" s="1"/>
      <c r="G52" s="1"/>
    </row>
    <row r="53" spans="1:48" x14ac:dyDescent="0.35">
      <c r="B53" s="1"/>
      <c r="C53" s="1"/>
      <c r="D53" s="1"/>
      <c r="E53" s="1"/>
      <c r="F53" s="1"/>
      <c r="G53" s="1"/>
    </row>
    <row r="54" spans="1:48" x14ac:dyDescent="0.35">
      <c r="B54" s="1"/>
      <c r="C54" s="1"/>
      <c r="D54" s="1"/>
      <c r="E54" s="1"/>
      <c r="F54" s="1"/>
      <c r="G54" s="1"/>
    </row>
    <row r="55" spans="1:48" x14ac:dyDescent="0.35">
      <c r="B55" s="1"/>
      <c r="C55" s="1"/>
      <c r="D55" s="1"/>
      <c r="E55" s="1"/>
      <c r="F55" s="1"/>
      <c r="G55" s="1"/>
    </row>
    <row r="56" spans="1:48" x14ac:dyDescent="0.35">
      <c r="B56" s="1"/>
      <c r="C56" s="1"/>
      <c r="D56" s="1"/>
      <c r="E56" s="1"/>
      <c r="F56" s="1"/>
      <c r="G56" s="1"/>
    </row>
    <row r="57" spans="1:48" x14ac:dyDescent="0.35">
      <c r="B57" s="1"/>
      <c r="C57" s="1"/>
      <c r="D57" s="1"/>
      <c r="E57" s="1"/>
      <c r="F57" s="1"/>
      <c r="G57" s="1"/>
    </row>
    <row r="58" spans="1:48" x14ac:dyDescent="0.35">
      <c r="B58" s="1"/>
      <c r="C58" s="1"/>
      <c r="D58" s="1"/>
      <c r="E58" s="1"/>
      <c r="F58" s="1"/>
      <c r="G58" s="1"/>
    </row>
    <row r="59" spans="1:48" x14ac:dyDescent="0.35">
      <c r="B59" s="1"/>
      <c r="C59" s="1"/>
      <c r="D59" s="1"/>
      <c r="E59" s="1"/>
      <c r="F59" s="1"/>
      <c r="G59" s="1"/>
    </row>
    <row r="60" spans="1:48" x14ac:dyDescent="0.35">
      <c r="B60" s="1"/>
      <c r="C60" s="1"/>
      <c r="D60" s="1"/>
      <c r="E60" s="1"/>
      <c r="F60" s="1"/>
      <c r="G60" s="1"/>
    </row>
    <row r="61" spans="1:48" x14ac:dyDescent="0.35">
      <c r="B61" s="1"/>
      <c r="C61" s="1"/>
      <c r="D61" s="1"/>
      <c r="E61" s="1"/>
      <c r="F61" s="1"/>
      <c r="G61" s="1"/>
    </row>
    <row r="62" spans="1:48" x14ac:dyDescent="0.35">
      <c r="B62" s="1"/>
      <c r="C62" s="1"/>
      <c r="D62" s="1"/>
      <c r="E62" s="1"/>
      <c r="F62" s="1"/>
      <c r="G62" s="1"/>
    </row>
    <row r="63" spans="1:48" x14ac:dyDescent="0.35">
      <c r="B63" s="1"/>
      <c r="C63" s="1"/>
      <c r="D63" s="1"/>
      <c r="E63" s="1"/>
      <c r="F63" s="1"/>
      <c r="G63" s="1"/>
    </row>
    <row r="64" spans="1:48" x14ac:dyDescent="0.35">
      <c r="B64" s="1"/>
      <c r="C64" s="1"/>
      <c r="D64" s="1"/>
      <c r="E64" s="1"/>
      <c r="F64" s="1"/>
      <c r="G64" s="1"/>
    </row>
    <row r="65" spans="2:7" x14ac:dyDescent="0.35">
      <c r="B65" s="1"/>
      <c r="C65" s="1"/>
      <c r="D65" s="1"/>
      <c r="E65" s="1"/>
      <c r="F65" s="1"/>
      <c r="G65" s="1"/>
    </row>
    <row r="66" spans="2:7" x14ac:dyDescent="0.35">
      <c r="B66" s="1"/>
      <c r="C66" s="1"/>
      <c r="D66" s="1"/>
      <c r="E66" s="1"/>
      <c r="F66" s="1"/>
      <c r="G66" s="1"/>
    </row>
    <row r="67" spans="2:7" x14ac:dyDescent="0.35">
      <c r="B67" s="1"/>
      <c r="C67" s="1"/>
      <c r="D67" s="1"/>
      <c r="E67" s="1"/>
      <c r="F67" s="1"/>
      <c r="G67" s="1"/>
    </row>
    <row r="68" spans="2:7" x14ac:dyDescent="0.35">
      <c r="B68" s="1"/>
      <c r="C68" s="1"/>
      <c r="D68" s="1"/>
      <c r="E68" s="1"/>
      <c r="F68" s="1"/>
      <c r="G68" s="1"/>
    </row>
    <row r="69" spans="2:7" x14ac:dyDescent="0.35">
      <c r="B69" s="1"/>
      <c r="C69" s="1"/>
      <c r="D69" s="1"/>
      <c r="E69" s="1"/>
      <c r="F69" s="1"/>
      <c r="G69" s="1"/>
    </row>
    <row r="70" spans="2:7" x14ac:dyDescent="0.35">
      <c r="B70" s="1"/>
      <c r="C70" s="1"/>
      <c r="D70" s="1"/>
      <c r="E70" s="1"/>
      <c r="F70" s="1"/>
      <c r="G70" s="1"/>
    </row>
    <row r="71" spans="2:7" x14ac:dyDescent="0.35">
      <c r="B71" s="1"/>
      <c r="C71" s="1"/>
      <c r="D71" s="1"/>
      <c r="E71" s="1"/>
      <c r="F71" s="1"/>
      <c r="G71" s="1"/>
    </row>
    <row r="72" spans="2:7" x14ac:dyDescent="0.35">
      <c r="B72" s="1"/>
      <c r="C72" s="1"/>
      <c r="D72" s="1"/>
      <c r="E72" s="1"/>
      <c r="F72" s="1"/>
      <c r="G72" s="1"/>
    </row>
    <row r="73" spans="2:7" x14ac:dyDescent="0.35">
      <c r="B73" s="1"/>
      <c r="C73" s="1"/>
      <c r="D73" s="1"/>
      <c r="E73" s="1"/>
      <c r="F73" s="1"/>
      <c r="G73" s="1"/>
    </row>
    <row r="74" spans="2:7" x14ac:dyDescent="0.35">
      <c r="B74" s="1"/>
      <c r="C74" s="1"/>
      <c r="D74" s="1"/>
      <c r="E74" s="1"/>
      <c r="F74" s="1"/>
      <c r="G74" s="1"/>
    </row>
    <row r="75" spans="2:7" x14ac:dyDescent="0.35">
      <c r="B75" s="1"/>
      <c r="C75" s="1"/>
      <c r="D75" s="1"/>
      <c r="E75" s="1"/>
      <c r="F75" s="1"/>
      <c r="G75" s="1"/>
    </row>
    <row r="76" spans="2:7" x14ac:dyDescent="0.35">
      <c r="B76" s="1"/>
      <c r="C76" s="1"/>
      <c r="D76" s="1"/>
      <c r="E76" s="1"/>
      <c r="F76" s="1"/>
      <c r="G76" s="1"/>
    </row>
    <row r="77" spans="2:7" x14ac:dyDescent="0.35">
      <c r="B77" s="1"/>
      <c r="C77" s="1"/>
      <c r="D77" s="1"/>
      <c r="E77" s="1"/>
      <c r="F77" s="1"/>
      <c r="G77" s="1"/>
    </row>
    <row r="78" spans="2:7" x14ac:dyDescent="0.35">
      <c r="B78" s="1"/>
      <c r="C78" s="1"/>
      <c r="D78" s="1"/>
      <c r="E78" s="1"/>
      <c r="F78" s="1"/>
      <c r="G78" s="1"/>
    </row>
    <row r="79" spans="2:7" x14ac:dyDescent="0.35">
      <c r="B79" s="1"/>
      <c r="C79" s="1"/>
      <c r="D79" s="1"/>
      <c r="E79" s="1"/>
      <c r="F79" s="1"/>
      <c r="G79" s="1"/>
    </row>
    <row r="80" spans="2:7" x14ac:dyDescent="0.35">
      <c r="B80" s="1"/>
      <c r="C80" s="1"/>
      <c r="D80" s="1"/>
      <c r="E80" s="1"/>
      <c r="F80" s="1"/>
      <c r="G80" s="1"/>
    </row>
    <row r="81" spans="2:7" x14ac:dyDescent="0.35">
      <c r="B81" s="1"/>
      <c r="C81" s="1"/>
      <c r="D81" s="1"/>
      <c r="E81" s="1"/>
      <c r="F81" s="1"/>
      <c r="G81" s="1"/>
    </row>
    <row r="82" spans="2:7" x14ac:dyDescent="0.35">
      <c r="B82" s="1"/>
      <c r="C82" s="1"/>
      <c r="D82" s="1"/>
      <c r="E82" s="1"/>
      <c r="F82" s="1"/>
      <c r="G82" s="1"/>
    </row>
    <row r="83" spans="2:7" x14ac:dyDescent="0.35">
      <c r="B83" s="1"/>
      <c r="C83" s="1"/>
      <c r="D83" s="1"/>
      <c r="E83" s="1"/>
      <c r="F83" s="1"/>
      <c r="G83" s="1"/>
    </row>
    <row r="84" spans="2:7" x14ac:dyDescent="0.35">
      <c r="B84" s="1"/>
      <c r="C84" s="1"/>
      <c r="D84" s="1"/>
      <c r="E84" s="1"/>
      <c r="F84" s="1"/>
      <c r="G84" s="1"/>
    </row>
    <row r="85" spans="2:7" x14ac:dyDescent="0.35">
      <c r="B85" s="1"/>
      <c r="C85" s="1"/>
      <c r="D85" s="1"/>
      <c r="E85" s="1"/>
      <c r="F85" s="1"/>
      <c r="G85" s="1"/>
    </row>
    <row r="86" spans="2:7" x14ac:dyDescent="0.35">
      <c r="B86" s="1"/>
      <c r="C86" s="1"/>
      <c r="D86" s="1"/>
      <c r="E86" s="1"/>
      <c r="F86" s="1"/>
      <c r="G86" s="1"/>
    </row>
    <row r="87" spans="2:7" x14ac:dyDescent="0.35">
      <c r="B87" s="1"/>
      <c r="C87" s="1"/>
      <c r="D87" s="1"/>
      <c r="E87" s="1"/>
      <c r="F87" s="1"/>
      <c r="G87" s="1"/>
    </row>
    <row r="88" spans="2:7" x14ac:dyDescent="0.35">
      <c r="B88" s="1"/>
      <c r="C88" s="1"/>
      <c r="D88" s="1"/>
      <c r="E88" s="1"/>
      <c r="F88" s="1"/>
      <c r="G88" s="1"/>
    </row>
    <row r="89" spans="2:7" x14ac:dyDescent="0.35">
      <c r="B89" s="1"/>
      <c r="C89" s="1"/>
      <c r="D89" s="1"/>
      <c r="E89" s="1"/>
      <c r="F89" s="1"/>
      <c r="G89" s="1"/>
    </row>
    <row r="90" spans="2:7" x14ac:dyDescent="0.35">
      <c r="B90" s="1"/>
      <c r="C90" s="1"/>
      <c r="D90" s="1"/>
      <c r="E90" s="1"/>
      <c r="F90" s="1"/>
      <c r="G90" s="1"/>
    </row>
    <row r="91" spans="2:7" x14ac:dyDescent="0.35">
      <c r="B91" s="1"/>
      <c r="C91" s="1"/>
      <c r="D91" s="1"/>
      <c r="E91" s="1"/>
      <c r="F91" s="1"/>
      <c r="G91" s="1"/>
    </row>
    <row r="92" spans="2:7" x14ac:dyDescent="0.35">
      <c r="B92" s="1"/>
      <c r="C92" s="1"/>
      <c r="D92" s="1"/>
      <c r="E92" s="1"/>
      <c r="F92" s="1"/>
      <c r="G92" s="1"/>
    </row>
    <row r="93" spans="2:7" x14ac:dyDescent="0.35">
      <c r="B93" s="1"/>
      <c r="C93" s="1"/>
      <c r="D93" s="1"/>
      <c r="E93" s="1"/>
      <c r="F93" s="1"/>
      <c r="G93" s="1"/>
    </row>
    <row r="94" spans="2:7" x14ac:dyDescent="0.35">
      <c r="B94" s="1"/>
      <c r="C94" s="1"/>
      <c r="D94" s="1"/>
      <c r="E94" s="1"/>
      <c r="F94" s="1"/>
      <c r="G94" s="1"/>
    </row>
    <row r="95" spans="2:7" x14ac:dyDescent="0.35">
      <c r="B95" s="1"/>
      <c r="C95" s="1"/>
      <c r="D95" s="1"/>
      <c r="E95" s="1"/>
      <c r="F95" s="1"/>
      <c r="G95" s="1"/>
    </row>
    <row r="96" spans="2:7" x14ac:dyDescent="0.35">
      <c r="B96" s="1"/>
      <c r="C96" s="1"/>
      <c r="D96" s="1"/>
      <c r="E96" s="1"/>
      <c r="F96" s="1"/>
      <c r="G96" s="1"/>
    </row>
    <row r="97" spans="2:7" x14ac:dyDescent="0.35">
      <c r="B97" s="1"/>
      <c r="C97" s="1"/>
      <c r="D97" s="1"/>
      <c r="E97" s="1"/>
      <c r="F97" s="1"/>
      <c r="G97" s="1"/>
    </row>
    <row r="98" spans="2:7" x14ac:dyDescent="0.35">
      <c r="B98" s="1"/>
      <c r="C98" s="1"/>
      <c r="D98" s="1"/>
      <c r="E98" s="1"/>
      <c r="F98" s="1"/>
      <c r="G98" s="1"/>
    </row>
    <row r="99" spans="2:7" x14ac:dyDescent="0.35">
      <c r="B99" s="1"/>
      <c r="C99" s="1"/>
      <c r="D99" s="1"/>
      <c r="E99" s="1"/>
      <c r="F99" s="1"/>
      <c r="G99" s="1"/>
    </row>
  </sheetData>
  <mergeCells count="2">
    <mergeCell ref="B2:E2"/>
    <mergeCell ref="AJ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erie_canal_master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J. Hall</dc:creator>
  <cp:lastModifiedBy>George J. Hall</cp:lastModifiedBy>
  <dcterms:created xsi:type="dcterms:W3CDTF">2025-09-10T18:28:39Z</dcterms:created>
  <dcterms:modified xsi:type="dcterms:W3CDTF">2025-10-31T17:37:40Z</dcterms:modified>
</cp:coreProperties>
</file>